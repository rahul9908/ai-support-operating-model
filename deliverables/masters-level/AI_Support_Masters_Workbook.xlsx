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871bd1ab744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Data" sheetId="1" r:id="R7325afd2bb6e4b53"/>
    <x:sheet xmlns:r="http://schemas.openxmlformats.org/officeDocument/2006/relationships" name="Dashboard" sheetId="2" r:id="R99531801789d46fc"/>
    <x:sheet xmlns:r="http://schemas.openxmlformats.org/officeDocument/2006/relationships" name="Product Backlog" sheetId="3" r:id="R1b0eee774a774182"/>
    <x:sheet xmlns:r="http://schemas.openxmlformats.org/officeDocument/2006/relationships" name="RTM" sheetId="4" r:id="Rc2c231e582984e63"/>
    <x:sheet xmlns:r="http://schemas.openxmlformats.org/officeDocument/2006/relationships" name="Data Mapping" sheetId="5" r:id="R6248b8a147344e05"/>
    <x:sheet xmlns:r="http://schemas.openxmlformats.org/officeDocument/2006/relationships" name="API Requirements" sheetId="6" r:id="R073919cb78ec4026"/>
    <x:sheet xmlns:r="http://schemas.openxmlformats.org/officeDocument/2006/relationships" name="UAT Cases" sheetId="7" r:id="R1de6c7dfbf9f4339"/>
    <x:sheet xmlns:r="http://schemas.openxmlformats.org/officeDocument/2006/relationships" name="Defect Log" sheetId="8" r:id="Reff33355945e4058"/>
    <x:sheet xmlns:r="http://schemas.openxmlformats.org/officeDocument/2006/relationships" name="Evaluation Design" sheetId="9" r:id="R17fb93c1d9844b1e"/>
    <x:sheet xmlns:r="http://schemas.openxmlformats.org/officeDocument/2006/relationships" name="Business Case" sheetId="10" r:id="Ra4cf8424b34647ae"/>
    <x:sheet xmlns:r="http://schemas.openxmlformats.org/officeDocument/2006/relationships" name="Governance RAID" sheetId="11" r:id="Rd4f30ef9f4c4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%"/>
    <x:numFmt numFmtId="201" formatCode="0.00"/>
    <x:numFmt numFmtId="202" formatCode="&quot;$&quot;#,##0.00"/>
    <x:numFmt numFmtId="203" formatCode="0.0"/>
    <x:numFmt numFmtId="204" formatCode="#,##0.0"/>
    <x:numFmt numFmtId="205" formatCode="&quot;$&quot;#,##0"/>
  </x:numFmts>
  <x:fonts count="9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5B6573"/>
      <x:name val="Arial"/>
    </x:font>
    <x:font>
      <x:sz val="11"/>
      <x:color rgb="FF1F2937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DF3F8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3" borderId="0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4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202" fontId="0" fillId="4" borderId="0" xfId="0" applyNumberFormat="1" applyFont="1" applyFill="1" applyBorder="1"/>
    <x:xf numFmtId="202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e2e485d0b4179" /><Relationship Type="http://schemas.openxmlformats.org/officeDocument/2006/relationships/theme" Target="/xl/theme/theme1.xml" Id="R4ef29a95c6104fec" /><Relationship Type="http://schemas.openxmlformats.org/officeDocument/2006/relationships/sharedStrings" Target="/xl/sharedStrings.xml" Id="R748ef7ad228842b1" /><Relationship Type="http://schemas.openxmlformats.org/officeDocument/2006/relationships/worksheet" Target="/xl/worksheets/sheet1.xml" Id="R7325afd2bb6e4b53" /><Relationship Type="http://schemas.openxmlformats.org/officeDocument/2006/relationships/worksheet" Target="/xl/worksheets/sheet2.xml" Id="R99531801789d46fc" /><Relationship Type="http://schemas.openxmlformats.org/officeDocument/2006/relationships/worksheet" Target="/xl/worksheets/sheet3.xml" Id="R1b0eee774a774182" /><Relationship Type="http://schemas.openxmlformats.org/officeDocument/2006/relationships/worksheet" Target="/xl/worksheets/sheet4.xml" Id="Rc2c231e582984e63" /><Relationship Type="http://schemas.openxmlformats.org/officeDocument/2006/relationships/worksheet" Target="/xl/worksheets/sheet5.xml" Id="R6248b8a147344e05" /><Relationship Type="http://schemas.openxmlformats.org/officeDocument/2006/relationships/worksheet" Target="/xl/worksheets/sheet6.xml" Id="R073919cb78ec4026" /><Relationship Type="http://schemas.openxmlformats.org/officeDocument/2006/relationships/worksheet" Target="/xl/worksheets/sheet7.xml" Id="R1de6c7dfbf9f4339" /><Relationship Type="http://schemas.openxmlformats.org/officeDocument/2006/relationships/worksheet" Target="/xl/worksheets/sheet8.xml" Id="Reff33355945e4058" /><Relationship Type="http://schemas.openxmlformats.org/officeDocument/2006/relationships/worksheet" Target="/xl/worksheets/sheet9.xml" Id="R17fb93c1d9844b1e" /><Relationship Type="http://schemas.openxmlformats.org/officeDocument/2006/relationships/worksheet" Target="/xl/worksheets/sheet10.xml" Id="Ra4cf8424b34647ae" /><Relationship Type="http://schemas.openxmlformats.org/officeDocument/2006/relationships/worksheet" Target="/xl/worksheets/sheet11.xml" Id="Rd4f30ef9f4c44a7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df5cc30a874f6b" /><Relationship Type="http://schemas.openxmlformats.org/officeDocument/2006/relationships/chart" Target="/xl/drawings/charts/chart2.xml" Id="R44f6b550b4f045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handling time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Handling Min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'Dashboard'!$G$6:$G$9</c:f>
              <c:strCache>
                <c:ptCount val="0"/>
              </c:strCache>
            </c:strRef>
          </c:cat>
          <c:val>
            <c:numRef>
              <c:f>'Dashboard'!$H$6:$H$9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accuracy and hallucination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Class Accuracy</c:v>
          </c:tx>
          <c:marker>
            <c:symbol val="none"/>
          </c:marker>
          <c:cat>
            <c:strRef>
              <c:f>'Dashboard'!$G$18:$G$21</c:f>
              <c:strCache>
                <c:ptCount val="0"/>
              </c:strCache>
            </c:strRef>
          </c:cat>
          <c:val>
            <c:numRef>
              <c:f>'Dashboard'!$H$18:$H$21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Hallucination</c:v>
          </c:tx>
          <c:marker>
            <c:symbol val="none"/>
          </c:marker>
          <c:cat>
            <c:strRef>
              <c:f>'Dashboard'!$G$18:$G$21</c:f>
              <c:strCache>
                <c:ptCount val="0"/>
              </c:strCache>
            </c:strRef>
          </c:cat>
          <c:val>
            <c:numRef>
              <c:f>'Dashboard'!$I$18:$I$21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df5cc30a874f6b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4f6b550b4f045e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42ecb9d41af401f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6" hidden="0" customWidth="1"/>
    <x:col min="4" max="4" width="12" hidden="0" customWidth="1"/>
    <x:col min="5" max="5" width="15" hidden="0" customWidth="1"/>
    <x:col min="6" max="6" width="18" hidden="0" customWidth="1"/>
    <x:col min="7" max="7" width="18" hidden="0" customWidth="1"/>
    <x:col min="8" max="8" width="12" hidden="0" customWidth="1"/>
    <x:col min="9" max="9" width="16" hidden="0" customWidth="1"/>
    <x:col min="10" max="10" width="20" hidden="0" customWidth="1"/>
    <x:col min="12" max="12" width="24" hidden="0" customWidth="1"/>
    <x:col min="13" max="13" width="48" hidden="0" customWidth="1"/>
  </x:cols>
  <x:sheetData>
    <x:row r="1">
      <x:c r="A1" s="5" t="str">
        <x:v>Week</x:v>
      </x:c>
      <x:c r="B1" s="5" t="str">
        <x:v>Requests</x:v>
      </x:c>
      <x:c r="C1" s="5" t="str">
        <x:v>Handling Min</x:v>
      </x:c>
      <x:c r="D1" s="5" t="str">
        <x:v>FCR</x:v>
      </x:c>
      <x:c r="E1" s="5" t="str">
        <x:v>Escalation</x:v>
      </x:c>
      <x:c r="F1" s="5" t="str">
        <x:v>Class Accuracy</x:v>
      </x:c>
      <x:c r="G1" s="5" t="str">
        <x:v>Hallucination</x:v>
      </x:c>
      <x:c r="H1" s="5" t="str">
        <x:v>CSAT</x:v>
      </x:c>
      <x:c r="I1" s="5" t="str">
        <x:v>Acceptance</x:v>
      </x:c>
      <x:c r="J1" s="5" t="str">
        <x:v>Cost/Resolution</x:v>
      </x:c>
      <x:c r="L1" s="27" t="str">
        <x:v>Metric definition</x:v>
      </x:c>
      <x:c r="M1" s="27" t="str">
        <x:v>Formula</x:v>
      </x:c>
    </x:row>
    <x:row r="2">
      <x:c r="A2" s="8" t="str">
        <x:v>2026-08-17</x:v>
      </x:c>
      <x:c r="B2" s="8" t="n">
        <x:v>2100</x:v>
      </x:c>
      <x:c r="C2" s="8" t="n">
        <x:v>10.2</x:v>
      </x:c>
      <x:c r="D2" s="10" t="n">
        <x:v>0.69</x:v>
      </x:c>
      <x:c r="E2" s="10" t="n">
        <x:v>0.29</x:v>
      </x:c>
      <x:c r="F2" s="10" t="n">
        <x:v>0.88</x:v>
      </x:c>
      <x:c r="G2" s="10" t="n">
        <x:v>0.035</x:v>
      </x:c>
      <x:c r="H2" s="12" t="n">
        <x:v>4.18</x:v>
      </x:c>
      <x:c r="I2" s="10" t="n">
        <x:v>0.42</x:v>
      </x:c>
      <x:c r="J2" s="14" t="n">
        <x:v>6.65</x:v>
      </x:c>
      <x:c r="L2" s="29" t="str">
        <x:v>Handling Min</x:v>
      </x:c>
      <x:c r="M2" s="29" t="str">
        <x:v>Agent active minutes / resolved cases</x:v>
      </x:c>
    </x:row>
    <x:row r="3">
      <x:c r="A3" s="9" t="str">
        <x:v>2026-08-24</x:v>
      </x:c>
      <x:c r="B3" s="9" t="n">
        <x:v>2250</x:v>
      </x:c>
      <x:c r="C3" s="9" t="n">
        <x:v>9.4</x:v>
      </x:c>
      <x:c r="D3" s="11" t="n">
        <x:v>0.71</x:v>
      </x:c>
      <x:c r="E3" s="11" t="n">
        <x:v>0.27</x:v>
      </x:c>
      <x:c r="F3" s="11" t="n">
        <x:v>0.91</x:v>
      </x:c>
      <x:c r="G3" s="11" t="n">
        <x:v>0.024</x:v>
      </x:c>
      <x:c r="H3" s="13" t="n">
        <x:v>4.22</x:v>
      </x:c>
      <x:c r="I3" s="11" t="n">
        <x:v>0.49</x:v>
      </x:c>
      <x:c r="J3" s="15" t="n">
        <x:v>6.2</x:v>
      </x:c>
      <x:c r="L3" s="29" t="str">
        <x:v>FCR</x:v>
      </x:c>
      <x:c r="M3" s="29" t="str">
        <x:v>Resolved without reopen or follow-up / resolved</x:v>
      </x:c>
    </x:row>
    <x:row r="4">
      <x:c r="A4" s="8" t="str">
        <x:v>2026-08-31</x:v>
      </x:c>
      <x:c r="B4" s="8" t="n">
        <x:v>2380</x:v>
      </x:c>
      <x:c r="C4" s="8" t="n">
        <x:v>8.8</x:v>
      </x:c>
      <x:c r="D4" s="10" t="n">
        <x:v>0.73</x:v>
      </x:c>
      <x:c r="E4" s="10" t="n">
        <x:v>0.25</x:v>
      </x:c>
      <x:c r="F4" s="10" t="n">
        <x:v>0.93</x:v>
      </x:c>
      <x:c r="G4" s="10" t="n">
        <x:v>0.018</x:v>
      </x:c>
      <x:c r="H4" s="12" t="n">
        <x:v>4.25</x:v>
      </x:c>
      <x:c r="I4" s="10" t="n">
        <x:v>0.56</x:v>
      </x:c>
      <x:c r="J4" s="14" t="n">
        <x:v>5.91</x:v>
      </x:c>
      <x:c r="L4" s="29" t="str">
        <x:v>Escalation</x:v>
      </x:c>
      <x:c r="M4" s="29" t="str">
        <x:v>Escalated / analyzed</x:v>
      </x:c>
    </x:row>
    <x:row r="5">
      <x:c r="A5" s="9" t="str">
        <x:v>2026-09-07</x:v>
      </x:c>
      <x:c r="B5" s="9" t="n">
        <x:v>2470</x:v>
      </x:c>
      <x:c r="C5" s="9" t="n">
        <x:v>8.3</x:v>
      </x:c>
      <x:c r="D5" s="11" t="n">
        <x:v>0.75</x:v>
      </x:c>
      <x:c r="E5" s="11" t="n">
        <x:v>0.23</x:v>
      </x:c>
      <x:c r="F5" s="11" t="n">
        <x:v>0.94</x:v>
      </x:c>
      <x:c r="G5" s="11" t="n">
        <x:v>0.012</x:v>
      </x:c>
      <x:c r="H5" s="13" t="n">
        <x:v>4.31</x:v>
      </x:c>
      <x:c r="I5" s="11" t="n">
        <x:v>0.61</x:v>
      </x:c>
      <x:c r="J5" s="15" t="n">
        <x:v>5.63</x:v>
      </x:c>
      <x:c r="L5" s="29" t="str">
        <x:v>Class Accuracy</x:v>
      </x:c>
      <x:c r="M5" s="29" t="str">
        <x:v>Correct primary category / labeled sample</x:v>
      </x:c>
    </x:row>
    <x:row r="6">
      <x:c r="L6" s="29" t="str">
        <x:v>Hallucination</x:v>
      </x:c>
      <x:c r="M6" s="29" t="str">
        <x:v>Drafts with unsupported claim / reviewed drafts</x:v>
      </x:c>
    </x:row>
    <x:row r="7">
      <x:c r="L7" s="29" t="str">
        <x:v>CSAT</x:v>
      </x:c>
      <x:c r="M7" s="29" t="str">
        <x:v>Average post-contact score (1–5)</x:v>
      </x:c>
    </x:row>
    <x:row r="8">
      <x:c r="L8" s="29" t="str">
        <x:v>Acceptance</x:v>
      </x:c>
      <x:c r="M8" s="29" t="str">
        <x:v>Approved without edit / reviewed AI drafts</x:v>
      </x:c>
    </x:row>
    <x:row r="9">
      <x:c r="L9" s="29" t="str">
        <x:v>Cost/Resolution</x:v>
      </x:c>
      <x:c r="M9" s="29" t="str">
        <x:v>Attributed labor and AI cost / resolved cases</x:v>
      </x:c>
    </x:row>
    <x:row r="10">
      <x:c r="L10" s="29" t="str">
        <x:v>Note</x:v>
      </x:c>
      <x:c r="M10" s="29" t="str">
        <x:v>All values are illustrative portfolio data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6" t="str">
        <x:v>AI Support Pilot Dashboard</x:v>
      </x:c>
    </x:row>
    <x:row r="3">
      <x:c r="A3" s="17" t="str">
        <x:v>Illustrative four-week pilot data. Replace inputs on KPI Data to refresh formulas and charts.</x:v>
      </x:c>
    </x:row>
    <x:row r="5">
      <x:c r="A5" s="18" t="str">
        <x:v>Metric</x:v>
      </x:c>
      <x:c r="B5" s="18" t="str">
        <x:v>Current</x:v>
      </x:c>
      <x:c r="D5" s="18" t="str">
        <x:v>Metric</x:v>
      </x:c>
      <x:c r="E5" s="18" t="str">
        <x:v>Current</x:v>
      </x:c>
      <x:c r="G5" t="str">
        <x:v>Week</x:v>
      </x:c>
      <x:c r="H5" t="str">
        <x:v>Handling Min</x:v>
      </x:c>
    </x:row>
    <x:row r="6">
      <x:c r="A6" s="20" t="str">
        <x:v>Average handling time</x:v>
      </x:c>
      <x:c r="B6" s="21" t="n">
        <x:f>AVERAGE('KPI Data'!C2:C5)</x:f>
        <x:v>9.175</x:v>
      </x:c>
      <x:c r="C6" s="20"/>
      <x:c r="D6" s="20" t="str">
        <x:v>First contact resolution</x:v>
      </x:c>
      <x:c r="E6" s="22" t="n">
        <x:f>AVERAGE('KPI Data'!D2:D5)</x:f>
        <x:v>0.72</x:v>
      </x:c>
      <x:c r="G6" t="str">
        <x:f>'KPI Data'!A2</x:f>
        <x:v>2026-08-17</x:v>
      </x:c>
      <x:c r="H6" t="n">
        <x:f>'KPI Data'!C2</x:f>
        <x:v>10.2</x:v>
      </x:c>
    </x:row>
    <x:row r="7">
      <x:c r="A7" s="20" t="str">
        <x:v>Classification accuracy</x:v>
      </x:c>
      <x:c r="B7" s="22" t="n">
        <x:f>AVERAGE('KPI Data'!F2:F5)</x:f>
        <x:v>0.915</x:v>
      </x:c>
      <x:c r="C7" s="20"/>
      <x:c r="D7" s="20" t="str">
        <x:v>Escalation rate</x:v>
      </x:c>
      <x:c r="E7" s="22" t="n">
        <x:f>AVERAGE('KPI Data'!E2:E5)</x:f>
        <x:v>0.26</x:v>
      </x:c>
      <x:c r="G7" t="str">
        <x:f>'KPI Data'!A3</x:f>
        <x:v>2026-08-24</x:v>
      </x:c>
      <x:c r="H7" t="n">
        <x:f>'KPI Data'!C3</x:f>
        <x:v>9.4</x:v>
      </x:c>
    </x:row>
    <x:row r="8">
      <x:c r="A8" s="20" t="str">
        <x:v>Hallucination rate</x:v>
      </x:c>
      <x:c r="B8" s="22" t="n">
        <x:f>AVERAGE('KPI Data'!G2:G5)</x:f>
        <x:v>0.02225</x:v>
      </x:c>
      <x:c r="C8" s="20"/>
      <x:c r="D8" s="20" t="str">
        <x:v>Response acceptance</x:v>
      </x:c>
      <x:c r="E8" s="22" t="n">
        <x:f>AVERAGE('KPI Data'!I2:I5)</x:f>
        <x:v>0.52</x:v>
      </x:c>
      <x:c r="G8" t="str">
        <x:f>'KPI Data'!A4</x:f>
        <x:v>2026-08-31</x:v>
      </x:c>
      <x:c r="H8" t="n">
        <x:f>'KPI Data'!C4</x:f>
        <x:v>8.8</x:v>
      </x:c>
    </x:row>
    <x:row r="9">
      <x:c r="A9" s="20" t="str">
        <x:v>Customer satisfaction</x:v>
      </x:c>
      <x:c r="B9" s="21" t="n">
        <x:f>AVERAGE('KPI Data'!H2:H5)</x:f>
        <x:v>4.239999999999999</x:v>
      </x:c>
      <x:c r="C9" s="20"/>
      <x:c r="D9" s="20" t="str">
        <x:v>Cost per resolution</x:v>
      </x:c>
      <x:c r="E9" s="23" t="n">
        <x:f>AVERAGE('KPI Data'!J2:J5)</x:f>
        <x:v>6.0975</x:v>
      </x:c>
      <x:c r="G9" t="str">
        <x:f>'KPI Data'!A5</x:f>
        <x:v>2026-09-07</x:v>
      </x:c>
      <x:c r="H9" t="n">
        <x:f>'KPI Data'!C5</x:f>
        <x:v>8.3</x:v>
      </x:c>
    </x:row>
    <x:row r="12">
      <x:c r="A12" s="18" t="str">
        <x:v>Metric</x:v>
      </x:c>
      <x:c r="B12" s="18" t="str">
        <x:v>Baseline</x:v>
      </x:c>
      <x:c r="C12" s="18" t="str">
        <x:v>Target</x:v>
      </x:c>
      <x:c r="D12" s="18" t="str">
        <x:v>Current</x:v>
      </x:c>
      <x:c r="E12" s="18" t="str">
        <x:v>Status</x:v>
      </x:c>
    </x:row>
    <x:row r="13">
      <x:c r="A13" s="6" t="str">
        <x:v>Handling time (min)</x:v>
      </x:c>
      <x:c r="B13" s="6" t="n">
        <x:v>12</x:v>
      </x:c>
      <x:c r="C13" s="6" t="n">
        <x:v>8.5</x:v>
      </x:c>
      <x:c r="D13" s="6" t="n">
        <x:f>B6</x:f>
        <x:v>9.175</x:v>
      </x:c>
      <x:c r="E13" s="6" t="str">
        <x:f>IF(D13&lt;=C13,"Met","Below")</x:f>
        <x:v>Below</x:v>
      </x:c>
    </x:row>
    <x:row r="14">
      <x:c r="A14" s="6" t="str">
        <x:v>Classification accuracy</x:v>
      </x:c>
      <x:c r="B14" s="24" t="n">
        <x:v>0.84</x:v>
      </x:c>
      <x:c r="C14" s="24" t="n">
        <x:v>0.9</x:v>
      </x:c>
      <x:c r="D14" s="24" t="n">
        <x:f>B7</x:f>
        <x:v>0.915</x:v>
      </x:c>
      <x:c r="E14" s="6" t="str">
        <x:f>IF(D14&gt;=C14,"Met","Below")</x:f>
        <x:v>Met</x:v>
      </x:c>
    </x:row>
    <x:row r="15">
      <x:c r="A15" s="6" t="str">
        <x:v>Hallucination rate</x:v>
      </x:c>
      <x:c r="B15" s="24" t="n">
        <x:v>0.06</x:v>
      </x:c>
      <x:c r="C15" s="24" t="n">
        <x:v>0.02</x:v>
      </x:c>
      <x:c r="D15" s="24" t="n">
        <x:f>B8</x:f>
        <x:v>0.02225</x:v>
      </x:c>
      <x:c r="E15" s="6" t="str">
        <x:f>IF(D15&lt;C15,"Met","Below")</x:f>
        <x:v>Below</x:v>
      </x:c>
    </x:row>
    <x:row r="16">
      <x:c r="A16" s="6" t="str">
        <x:v>Customer satisfaction</x:v>
      </x:c>
      <x:c r="B16" s="6" t="n">
        <x:v>4.2</x:v>
      </x:c>
      <x:c r="C16" s="6" t="n">
        <x:v>4.2</x:v>
      </x:c>
      <x:c r="D16" s="6" t="n">
        <x:f>B9</x:f>
        <x:v>4.239999999999999</x:v>
      </x:c>
      <x:c r="E16" s="6" t="str">
        <x:f>IF(D16&gt;=C16,"Met","Below")</x:f>
        <x:v>Met</x:v>
      </x:c>
    </x:row>
    <x:row r="17">
      <x:c r="A17" s="6" t="str">
        <x:v>First contact resolution</x:v>
      </x:c>
      <x:c r="B17" s="24" t="n">
        <x:v>0.68</x:v>
      </x:c>
      <x:c r="C17" s="24" t="n">
        <x:v>0.72</x:v>
      </x:c>
      <x:c r="D17" s="24" t="n">
        <x:f>E6</x:f>
        <x:v>0.72</x:v>
      </x:c>
      <x:c r="E17" s="6" t="str">
        <x:f>IF(D17&gt;=C17,"Met","Below")</x:f>
        <x:v>Met</x:v>
      </x:c>
      <x:c r="G17" t="str">
        <x:v>Week</x:v>
      </x:c>
      <x:c r="H17" t="str">
        <x:v>Class Accuracy</x:v>
      </x:c>
      <x:c r="I17" t="str">
        <x:v>Hallucination</x:v>
      </x:c>
    </x:row>
    <x:row r="18">
      <x:c r="A18" s="6" t="str">
        <x:v>Escalation rate</x:v>
      </x:c>
      <x:c r="B18" s="24" t="n">
        <x:v>0.22</x:v>
      </x:c>
      <x:c r="C18" s="24" t="n">
        <x:v>0.3</x:v>
      </x:c>
      <x:c r="D18" s="24" t="n">
        <x:f>E7</x:f>
        <x:v>0.26</x:v>
      </x:c>
      <x:c r="E18" s="6" t="str">
        <x:f>IF(D18&lt;=C18,"Within","Above")</x:f>
        <x:v>Within</x:v>
      </x:c>
      <x:c r="G18" t="str">
        <x:f>'KPI Data'!A2</x:f>
        <x:v>2026-08-17</x:v>
      </x:c>
      <x:c r="H18" t="n">
        <x:f>'KPI Data'!F2</x:f>
        <x:v>0.88</x:v>
      </x:c>
      <x:c r="I18" t="n">
        <x:f>'KPI Data'!G2</x:f>
        <x:v>0.035</x:v>
      </x:c>
    </x:row>
    <x:row r="19">
      <x:c r="A19" s="6" t="str">
        <x:v>Response acceptance</x:v>
      </x:c>
      <x:c r="B19" s="24" t="n">
        <x:v>0</x:v>
      </x:c>
      <x:c r="C19" s="24" t="n">
        <x:v>0.55</x:v>
      </x:c>
      <x:c r="D19" s="24" t="n">
        <x:f>E8</x:f>
        <x:v>0.52</x:v>
      </x:c>
      <x:c r="E19" s="6" t="str">
        <x:f>IF(D19&gt;=C19,"Met","Below")</x:f>
        <x:v>Below</x:v>
      </x:c>
      <x:c r="G19" t="str">
        <x:f>'KPI Data'!A3</x:f>
        <x:v>2026-08-24</x:v>
      </x:c>
      <x:c r="H19" t="n">
        <x:f>'KPI Data'!F3</x:f>
        <x:v>0.91</x:v>
      </x:c>
      <x:c r="I19" t="n">
        <x:f>'KPI Data'!G3</x:f>
        <x:v>0.024</x:v>
      </x:c>
    </x:row>
    <x:row r="20">
      <x:c r="A20" s="6" t="str">
        <x:v>Cost per resolution</x:v>
      </x:c>
      <x:c r="B20" s="25" t="n">
        <x:v>7.1</x:v>
      </x:c>
      <x:c r="C20" s="25" t="n">
        <x:v>6.04</x:v>
      </x:c>
      <x:c r="D20" s="25" t="n">
        <x:f>E9</x:f>
        <x:v>6.0975</x:v>
      </x:c>
      <x:c r="E20" s="6" t="str">
        <x:f>IF(D20&lt;=C20,"Met","Below")</x:f>
        <x:v>Below</x:v>
      </x:c>
      <x:c r="G20" t="str">
        <x:f>'KPI Data'!A4</x:f>
        <x:v>2026-08-31</x:v>
      </x:c>
      <x:c r="H20" t="n">
        <x:f>'KPI Data'!F4</x:f>
        <x:v>0.93</x:v>
      </x:c>
      <x:c r="I20" t="n">
        <x:f>'KPI Data'!G4</x:f>
        <x:v>0.018</x:v>
      </x:c>
    </x:row>
    <x:row r="21">
      <x:c r="G21" t="str">
        <x:f>'KPI Data'!A5</x:f>
        <x:v>2026-09-07</x:v>
      </x:c>
      <x:c r="H21" t="n">
        <x:f>'KPI Data'!F5</x:f>
        <x:v>0.94</x:v>
      </x:c>
      <x:c r="I21" t="n">
        <x:f>'KPI Data'!G5</x:f>
        <x:v>0.012</x:v>
      </x:c>
    </x:row>
  </x:sheetData>
  <x:mergeCells>
    <x:mergeCell ref="A2:L2"/>
    <x:mergeCell ref="A3:L3"/>
  </x:mergeCells>
  <x:conditionalFormatting sqref="E13:E20">
    <x:cfRule type="containsText" dxfId="0" priority="1" operator="containsText" text="Met"/>
    <x:cfRule type="containsText" dxfId="1" priority="2" operator="containsText" text="Below"/>
  </x:conditionalFormatting>
  <x:pageMargins left="0.7" right="0.7" top="0.75" bottom="0.75" header="0.3" footer="0.3"/>
  <x:drawing xmlns:r="http://schemas.openxmlformats.org/officeDocument/2006/relationships" r:id="R742ecb9d41af401f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40" hidden="0" customWidth="1"/>
    <x:col min="5" max="5" width="12" hidden="0" customWidth="1"/>
    <x:col min="6" max="6" width="9" hidden="0" customWidth="1"/>
    <x:col min="7" max="7" width="12" hidden="0" customWidth="1"/>
    <x:col min="8" max="8" width="14" hidden="0" customWidth="1"/>
    <x:col min="9" max="9" width="12" hidden="0" customWidth="1"/>
    <x:col min="10" max="10" width="25" hidden="0" customWidth="1"/>
  </x:cols>
  <x:sheetData>
    <x:row r="2">
      <x:c r="A2" s="16" t="str">
        <x:v>Jira Style Product Backlog</x:v>
      </x:c>
    </x:row>
    <x:row r="3">
      <x:c r="A3" s="17" t="str">
        <x:v>Prioritized pilot backlog with traceable requirement and story IDs.</x:v>
      </x:c>
    </x:row>
    <x:row r="5">
      <x:c r="A5" s="5" t="str">
        <x:v>Epic</x:v>
      </x:c>
      <x:c r="B5" s="5" t="str">
        <x:v>Type</x:v>
      </x:c>
      <x:c r="C5" s="5" t="str">
        <x:v>ID</x:v>
      </x:c>
      <x:c r="D5" s="5" t="str">
        <x:v>Summary</x:v>
      </x:c>
      <x:c r="E5" s="5" t="str">
        <x:v>Priority</x:v>
      </x:c>
      <x:c r="F5" s="5" t="str">
        <x:v>Points</x:v>
      </x:c>
      <x:c r="G5" s="5" t="str">
        <x:v>Sprint</x:v>
      </x:c>
      <x:c r="H5" s="5" t="str">
        <x:v>Owner</x:v>
      </x:c>
      <x:c r="I5" s="5" t="str">
        <x:v>Status</x:v>
      </x:c>
      <x:c r="J5" s="5" t="str">
        <x:v>Trace</x:v>
      </x:c>
    </x:row>
    <x:row r="6">
      <x:c r="A6" s="8" t="str">
        <x:v>EPIC-1</x:v>
      </x:c>
      <x:c r="B6" s="8" t="str">
        <x:v>Story</x:v>
      </x:c>
      <x:c r="C6" s="8" t="str">
        <x:v>US-001</x:v>
      </x:c>
      <x:c r="D6" s="8" t="str">
        <x:v>Automated classification and priority</x:v>
      </x:c>
      <x:c r="E6" s="8" t="str">
        <x:v>Must</x:v>
      </x:c>
      <x:c r="F6" s="8" t="n">
        <x:v>8</x:v>
      </x:c>
      <x:c r="G6" s="8" t="str">
        <x:v>Sprint 1</x:v>
      </x:c>
      <x:c r="H6" s="8" t="str">
        <x:v>Product</x:v>
      </x:c>
      <x:c r="I6" s="8" t="str">
        <x:v>Done</x:v>
      </x:c>
      <x:c r="J6" s="8" t="str">
        <x:v>BR-02; FR-002–004</x:v>
      </x:c>
    </x:row>
    <x:row r="7">
      <x:c r="A7" s="9" t="str">
        <x:v>EPIC-1</x:v>
      </x:c>
      <x:c r="B7" s="9" t="str">
        <x:v>Story</x:v>
      </x:c>
      <x:c r="C7" s="9" t="str">
        <x:v>US-002</x:v>
      </x:c>
      <x:c r="D7" s="9" t="str">
        <x:v>Approved knowledge retrieval and citations</x:v>
      </x:c>
      <x:c r="E7" s="9" t="str">
        <x:v>Must</x:v>
      </x:c>
      <x:c r="F7" s="9" t="n">
        <x:v>13</x:v>
      </x:c>
      <x:c r="G7" s="9" t="str">
        <x:v>Sprint 1</x:v>
      </x:c>
      <x:c r="H7" s="9" t="str">
        <x:v>Engineering</x:v>
      </x:c>
      <x:c r="I7" s="9" t="str">
        <x:v>Done</x:v>
      </x:c>
      <x:c r="J7" s="9" t="str">
        <x:v>BR-03; FR-005–007</x:v>
      </x:c>
    </x:row>
    <x:row r="8">
      <x:c r="A8" s="8" t="str">
        <x:v>EPIC-2</x:v>
      </x:c>
      <x:c r="B8" s="8" t="str">
        <x:v>Story</x:v>
      </x:c>
      <x:c r="C8" s="8" t="str">
        <x:v>US-003</x:v>
      </x:c>
      <x:c r="D8" s="8" t="str">
        <x:v>High-risk specialist routing</x:v>
      </x:c>
      <x:c r="E8" s="8" t="str">
        <x:v>Must</x:v>
      </x:c>
      <x:c r="F8" s="8" t="n">
        <x:v>8</x:v>
      </x:c>
      <x:c r="G8" s="8" t="str">
        <x:v>Sprint 2</x:v>
      </x:c>
      <x:c r="H8" s="8" t="str">
        <x:v>Compliance</x:v>
      </x:c>
      <x:c r="I8" s="8" t="str">
        <x:v>In UAT</x:v>
      </x:c>
      <x:c r="J8" s="8" t="str">
        <x:v>BR-04; FR-009–010</x:v>
      </x:c>
    </x:row>
    <x:row r="9">
      <x:c r="A9" s="9" t="str">
        <x:v>EPIC-2</x:v>
      </x:c>
      <x:c r="B9" s="9" t="str">
        <x:v>Story</x:v>
      </x:c>
      <x:c r="C9" s="9" t="str">
        <x:v>US-004</x:v>
      </x:c>
      <x:c r="D9" s="9" t="str">
        <x:v>Agent review and disposition actions</x:v>
      </x:c>
      <x:c r="E9" s="9" t="str">
        <x:v>Must</x:v>
      </x:c>
      <x:c r="F9" s="9" t="n">
        <x:v>8</x:v>
      </x:c>
      <x:c r="G9" s="9" t="str">
        <x:v>Sprint 2</x:v>
      </x:c>
      <x:c r="H9" s="9" t="str">
        <x:v>Product</x:v>
      </x:c>
      <x:c r="I9" s="9" t="str">
        <x:v>In UAT</x:v>
      </x:c>
      <x:c r="J9" s="9" t="str">
        <x:v>BR-04; FR-011–012</x:v>
      </x:c>
    </x:row>
    <x:row r="10">
      <x:c r="A10" s="8" t="str">
        <x:v>EPIC-3</x:v>
      </x:c>
      <x:c r="B10" s="8" t="str">
        <x:v>Story</x:v>
      </x:c>
      <x:c r="C10" s="8" t="str">
        <x:v>US-008</x:v>
      </x:c>
      <x:c r="D10" s="8" t="str">
        <x:v>Idempotent integration and correlation IDs</x:v>
      </x:c>
      <x:c r="E10" s="8" t="str">
        <x:v>Must</x:v>
      </x:c>
      <x:c r="F10" s="8" t="n">
        <x:v>5</x:v>
      </x:c>
      <x:c r="G10" s="8" t="str">
        <x:v>Sprint 2</x:v>
      </x:c>
      <x:c r="H10" s="8" t="str">
        <x:v>Engineering</x:v>
      </x:c>
      <x:c r="I10" s="8" t="str">
        <x:v>Done</x:v>
      </x:c>
      <x:c r="J10" s="8" t="str">
        <x:v>FR-013–014; NFR-009</x:v>
      </x:c>
    </x:row>
    <x:row r="11">
      <x:c r="A11" s="9" t="str">
        <x:v>EPIC-3</x:v>
      </x:c>
      <x:c r="B11" s="9" t="str">
        <x:v>Task</x:v>
      </x:c>
      <x:c r="C11" s="9" t="str">
        <x:v>TECH-01</x:v>
      </x:c>
      <x:c r="D11" s="9" t="str">
        <x:v>Prompt and model metadata audit event</x:v>
      </x:c>
      <x:c r="E11" s="9" t="str">
        <x:v>Must</x:v>
      </x:c>
      <x:c r="F11" s="9" t="n">
        <x:v>5</x:v>
      </x:c>
      <x:c r="G11" s="9" t="str">
        <x:v>Sprint 2</x:v>
      </x:c>
      <x:c r="H11" s="9" t="str">
        <x:v>Engineering</x:v>
      </x:c>
      <x:c r="I11" s="9" t="str">
        <x:v>In UAT</x:v>
      </x:c>
      <x:c r="J11" s="9" t="str">
        <x:v>FR-008; NFR-008</x:v>
      </x:c>
    </x:row>
    <x:row r="12">
      <x:c r="A12" s="8" t="str">
        <x:v>EPIC-4</x:v>
      </x:c>
      <x:c r="B12" s="8" t="str">
        <x:v>Story</x:v>
      </x:c>
      <x:c r="C12" s="8" t="str">
        <x:v>US-005</x:v>
      </x:c>
      <x:c r="D12" s="8" t="str">
        <x:v>Manager KPI dashboard and drill-through</x:v>
      </x:c>
      <x:c r="E12" s="8" t="str">
        <x:v>Should</x:v>
      </x:c>
      <x:c r="F12" s="8" t="n">
        <x:v>8</x:v>
      </x:c>
      <x:c r="G12" s="8" t="str">
        <x:v>Sprint 3</x:v>
      </x:c>
      <x:c r="H12" s="8" t="str">
        <x:v>Data</x:v>
      </x:c>
      <x:c r="I12" s="8" t="str">
        <x:v>Ready</x:v>
      </x:c>
      <x:c r="J12" s="8" t="str">
        <x:v>BR-07; FR-015–016</x:v>
      </x:c>
    </x:row>
    <x:row r="13">
      <x:c r="A13" s="9" t="str">
        <x:v>EPIC-4</x:v>
      </x:c>
      <x:c r="B13" s="9" t="str">
        <x:v>Story</x:v>
      </x:c>
      <x:c r="C13" s="9" t="str">
        <x:v>US-006</x:v>
      </x:c>
      <x:c r="D13" s="9" t="str">
        <x:v>Versioned risk rule administration</x:v>
      </x:c>
      <x:c r="E13" s="9" t="str">
        <x:v>Should</x:v>
      </x:c>
      <x:c r="F13" s="9" t="n">
        <x:v>8</x:v>
      </x:c>
      <x:c r="G13" s="9" t="str">
        <x:v>Sprint 3</x:v>
      </x:c>
      <x:c r="H13" s="9" t="str">
        <x:v>Compliance</x:v>
      </x:c>
      <x:c r="I13" s="9" t="str">
        <x:v>Ready</x:v>
      </x:c>
      <x:c r="J13" s="9" t="str">
        <x:v>FR-017</x:v>
      </x:c>
    </x:row>
    <x:row r="14">
      <x:c r="A14" s="8" t="str">
        <x:v>EPIC-4</x:v>
      </x:c>
      <x:c r="B14" s="8" t="str">
        <x:v>Story</x:v>
      </x:c>
      <x:c r="C14" s="8" t="str">
        <x:v>US-007</x:v>
      </x:c>
      <x:c r="D14" s="8" t="str">
        <x:v>Knowledge exclusion control</x:v>
      </x:c>
      <x:c r="E14" s="8" t="str">
        <x:v>Should</x:v>
      </x:c>
      <x:c r="F14" s="8" t="n">
        <x:v>5</x:v>
      </x:c>
      <x:c r="G14" s="8" t="str">
        <x:v>Sprint 3</x:v>
      </x:c>
      <x:c r="H14" s="8" t="str">
        <x:v>Knowledge</x:v>
      </x:c>
      <x:c r="I14" s="8" t="str">
        <x:v>Ready</x:v>
      </x:c>
      <x:c r="J14" s="8" t="str">
        <x:v>FR-018</x:v>
      </x:c>
    </x:row>
    <x:row r="15">
      <x:c r="A15" s="9" t="str">
        <x:v>EPIC-5</x:v>
      </x:c>
      <x:c r="B15" s="9" t="str">
        <x:v>Task</x:v>
      </x:c>
      <x:c r="C15" s="9" t="str">
        <x:v>AI-01</x:v>
      </x:c>
      <x:c r="D15" s="9" t="str">
        <x:v>Evaluation dataset and scoring harness</x:v>
      </x:c>
      <x:c r="E15" s="9" t="str">
        <x:v>Must</x:v>
      </x:c>
      <x:c r="F15" s="9" t="n">
        <x:v>13</x:v>
      </x:c>
      <x:c r="G15" s="9" t="str">
        <x:v>Sprint 1</x:v>
      </x:c>
      <x:c r="H15" s="9" t="str">
        <x:v>Data</x:v>
      </x:c>
      <x:c r="I15" s="9" t="str">
        <x:v>Done</x:v>
      </x:c>
      <x:c r="J15" s="9" t="str">
        <x:v>BR-03–04</x:v>
      </x:c>
    </x:row>
    <x:row r="16">
      <x:c r="A16" s="8" t="str">
        <x:v>EPIC-5</x:v>
      </x:c>
      <x:c r="B16" s="8" t="str">
        <x:v>Task</x:v>
      </x:c>
      <x:c r="C16" s="8" t="str">
        <x:v>OPS-01</x:v>
      </x:c>
      <x:c r="D16" s="8" t="str">
        <x:v>Pilot support and rollback runbook</x:v>
      </x:c>
      <x:c r="E16" s="8" t="str">
        <x:v>Must</x:v>
      </x:c>
      <x:c r="F16" s="8" t="n">
        <x:v>5</x:v>
      </x:c>
      <x:c r="G16" s="8" t="str">
        <x:v>Sprint 3</x:v>
      </x:c>
      <x:c r="H16" s="8" t="str">
        <x:v>Support</x:v>
      </x:c>
      <x:c r="I16" s="8" t="str">
        <x:v>Ready</x:v>
      </x:c>
      <x:c r="J16" s="8" t="str">
        <x:v>FR-020; NFR-012</x:v>
      </x:c>
    </x:row>
    <x:row r="17">
      <x:c r="A17" s="9" t="str">
        <x:v>EPIC-6</x:v>
      </x:c>
      <x:c r="B17" s="9" t="str">
        <x:v>Story</x:v>
      </x:c>
      <x:c r="C17" s="9" t="str">
        <x:v>US-009</x:v>
      </x:c>
      <x:c r="D17" s="9" t="str">
        <x:v>Additional language support</x:v>
      </x:c>
      <x:c r="E17" s="9" t="str">
        <x:v>Could</x:v>
      </x:c>
      <x:c r="F17" s="9" t="n">
        <x:v>13</x:v>
      </x:c>
      <x:c r="G17" s="9" t="str">
        <x:v>Future</x:v>
      </x:c>
      <x:c r="H17" s="9" t="str">
        <x:v>Product</x:v>
      </x:c>
      <x:c r="I17" s="9" t="str">
        <x:v>Backlog</x:v>
      </x:c>
      <x:c r="J17" s="9" t="str">
        <x:v>BR-09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1" hidden="0" customWidth="1"/>
    <x:col min="4" max="4" width="23" hidden="0" customWidth="1"/>
    <x:col min="5" max="5" width="13" hidden="0" customWidth="1"/>
    <x:col min="6" max="6" width="13" hidden="0" customWidth="1"/>
    <x:col min="7" max="7" width="18" hidden="0" customWidth="1"/>
    <x:col min="8" max="8" width="36" hidden="0" customWidth="1"/>
  </x:cols>
  <x:sheetData>
    <x:row r="2">
      <x:c r="A2" s="16" t="str">
        <x:v>Requirements Traceability Matrix</x:v>
      </x:c>
    </x:row>
    <x:row r="3">
      <x:c r="A3" s="17" t="str">
        <x:v>Business requirement to implementation and test coverage.</x:v>
      </x:c>
    </x:row>
    <x:row r="5">
      <x:c r="A5" s="5" t="str">
        <x:v>Business Req</x:v>
      </x:c>
      <x:c r="B5" s="5" t="str">
        <x:v>Functional Req</x:v>
      </x:c>
      <x:c r="C5" s="5" t="str">
        <x:v>Stories</x:v>
      </x:c>
      <x:c r="D5" s="5" t="str">
        <x:v>Test Cases</x:v>
      </x:c>
      <x:c r="E5" s="5" t="str">
        <x:v>Test Status</x:v>
      </x:c>
      <x:c r="F5" s="5" t="str">
        <x:v>Coverage</x:v>
      </x:c>
      <x:c r="G5" s="5" t="str">
        <x:v>Owner</x:v>
      </x:c>
      <x:c r="H5" s="5" t="str">
        <x:v>Notes</x:v>
      </x:c>
    </x:row>
    <x:row r="6">
      <x:c r="A6" s="8" t="str">
        <x:v>BR-01</x:v>
      </x:c>
      <x:c r="B6" s="8" t="str">
        <x:v>FR-013; FR-020</x:v>
      </x:c>
      <x:c r="C6" s="8" t="str">
        <x:v>US-004</x:v>
      </x:c>
      <x:c r="D6" s="8" t="str">
        <x:v>TC-008; TC-012</x:v>
      </x:c>
      <x:c r="E6" s="8" t="str">
        <x:v>UAT</x:v>
      </x:c>
      <x:c r="F6" s="8" t="str">
        <x:v>Covered</x:v>
      </x:c>
      <x:c r="G6" s="8" t="str">
        <x:v>Support Manager</x:v>
      </x:c>
      <x:c r="H6" s="8" t="str">
        <x:v>Handling time and fallback</x:v>
      </x:c>
    </x:row>
    <x:row r="7">
      <x:c r="A7" s="9" t="str">
        <x:v>BR-02</x:v>
      </x:c>
      <x:c r="B7" s="9" t="str">
        <x:v>FR-002–004</x:v>
      </x:c>
      <x:c r="C7" s="9" t="str">
        <x:v>US-001</x:v>
      </x:c>
      <x:c r="D7" s="9" t="str">
        <x:v>TC-001; TC-002</x:v>
      </x:c>
      <x:c r="E7" s="9" t="str">
        <x:v>Passed</x:v>
      </x:c>
      <x:c r="F7" s="9" t="str">
        <x:v>Covered</x:v>
      </x:c>
      <x:c r="G7" s="9" t="str">
        <x:v>Product Manager</x:v>
      </x:c>
      <x:c r="H7" s="9" t="str">
        <x:v>Classification</x:v>
      </x:c>
    </x:row>
    <x:row r="8">
      <x:c r="A8" s="8" t="str">
        <x:v>BR-03</x:v>
      </x:c>
      <x:c r="B8" s="8" t="str">
        <x:v>FR-005–008; FR-018</x:v>
      </x:c>
      <x:c r="C8" s="8" t="str">
        <x:v>US-002; US-007</x:v>
      </x:c>
      <x:c r="D8" s="8" t="str">
        <x:v>TC-003; TC-004; TC-010</x:v>
      </x:c>
      <x:c r="E8" s="8" t="str">
        <x:v>UAT</x:v>
      </x:c>
      <x:c r="F8" s="8" t="str">
        <x:v>Covered</x:v>
      </x:c>
      <x:c r="G8" s="8" t="str">
        <x:v>Knowledge Owner</x:v>
      </x:c>
      <x:c r="H8" s="8" t="str">
        <x:v>Grounding and source lineage</x:v>
      </x:c>
    </x:row>
    <x:row r="9">
      <x:c r="A9" s="9" t="str">
        <x:v>BR-04</x:v>
      </x:c>
      <x:c r="B9" s="9" t="str">
        <x:v>FR-009–012; FR-017</x:v>
      </x:c>
      <x:c r="C9" s="9" t="str">
        <x:v>US-003; US-004; US-006</x:v>
      </x:c>
      <x:c r="D9" s="9" t="str">
        <x:v>TC-005; TC-006; TC-007</x:v>
      </x:c>
      <x:c r="E9" s="9" t="str">
        <x:v>UAT</x:v>
      </x:c>
      <x:c r="F9" s="9" t="str">
        <x:v>Covered</x:v>
      </x:c>
      <x:c r="G9" s="9" t="str">
        <x:v>Compliance</x:v>
      </x:c>
      <x:c r="H9" s="9" t="str">
        <x:v>Mandatory review</x:v>
      </x:c>
    </x:row>
    <x:row r="10">
      <x:c r="A10" s="8" t="str">
        <x:v>BR-05</x:v>
      </x:c>
      <x:c r="B10" s="8" t="str">
        <x:v>FR-008; FR-014</x:v>
      </x:c>
      <x:c r="C10" s="8" t="str">
        <x:v>US-004; US-008</x:v>
      </x:c>
      <x:c r="D10" s="8" t="str">
        <x:v>TC-008; TC-009</x:v>
      </x:c>
      <x:c r="E10" s="8" t="str">
        <x:v>Passed</x:v>
      </x:c>
      <x:c r="F10" s="8" t="str">
        <x:v>Covered</x:v>
      </x:c>
      <x:c r="G10" s="8" t="str">
        <x:v>Compliance</x:v>
      </x:c>
      <x:c r="H10" s="8" t="str">
        <x:v>Audit evidence</x:v>
      </x:c>
    </x:row>
    <x:row r="11">
      <x:c r="A11" s="9" t="str">
        <x:v>BR-06</x:v>
      </x:c>
      <x:c r="B11" s="9" t="str">
        <x:v>FR-001</x:v>
      </x:c>
      <x:c r="C11" s="9" t="str">
        <x:v>US-008</x:v>
      </x:c>
      <x:c r="D11" s="9" t="str">
        <x:v>TC-011; TC-013</x:v>
      </x:c>
      <x:c r="E11" s="9" t="str">
        <x:v>UAT</x:v>
      </x:c>
      <x:c r="F11" s="9" t="str">
        <x:v>Covered</x:v>
      </x:c>
      <x:c r="G11" s="9" t="str">
        <x:v>Security</x:v>
      </x:c>
      <x:c r="H11" s="9" t="str">
        <x:v>Privacy and access</x:v>
      </x:c>
    </x:row>
    <x:row r="12">
      <x:c r="A12" s="8" t="str">
        <x:v>BR-07</x:v>
      </x:c>
      <x:c r="B12" s="8" t="str">
        <x:v>FR-015–016</x:v>
      </x:c>
      <x:c r="C12" s="8" t="str">
        <x:v>US-005</x:v>
      </x:c>
      <x:c r="D12" s="8" t="str">
        <x:v>TC-014; TC-015</x:v>
      </x:c>
      <x:c r="E12" s="8" t="str">
        <x:v>Ready</x:v>
      </x:c>
      <x:c r="F12" s="8" t="str">
        <x:v>Covered</x:v>
      </x:c>
      <x:c r="G12" s="8" t="str">
        <x:v>Data Analyst</x:v>
      </x:c>
      <x:c r="H12" s="8" t="str">
        <x:v>KPI reconciliation</x:v>
      </x:c>
    </x:row>
    <x:row r="13">
      <x:c r="A13" s="9" t="str">
        <x:v>BR-08</x:v>
      </x:c>
      <x:c r="B13" s="9" t="str">
        <x:v>FR-012; FR-019</x:v>
      </x:c>
      <x:c r="C13" s="9" t="str">
        <x:v>US-004</x:v>
      </x:c>
      <x:c r="D13" s="9" t="str">
        <x:v>TC-007</x:v>
      </x:c>
      <x:c r="E13" s="9" t="str">
        <x:v>UAT</x:v>
      </x:c>
      <x:c r="F13" s="9" t="str">
        <x:v>Covered</x:v>
      </x:c>
      <x:c r="G13" s="9" t="str">
        <x:v>Support Manager</x:v>
      </x:c>
      <x:c r="H13" s="9" t="str">
        <x:v>Feedback capture</x:v>
      </x:c>
    </x:row>
    <x:row r="14">
      <x:c r="A14" s="8" t="str">
        <x:v>BR-09</x:v>
      </x:c>
      <x:c r="B14" s="8" t="str">
        <x:v>Future</x:v>
      </x:c>
      <x:c r="C14" s="8" t="str">
        <x:v>US-009</x:v>
      </x:c>
      <x:c r="D14" s="8" t="str">
        <x:v>Future</x:v>
      </x:c>
      <x:c r="E14" s="8" t="str">
        <x:v>Backlog</x:v>
      </x:c>
      <x:c r="F14" s="8" t="str">
        <x:v>Deferred</x:v>
      </x:c>
      <x:c r="G14" s="8" t="str">
        <x:v>Product Manager</x:v>
      </x:c>
      <x:c r="H14" s="8" t="str">
        <x:v>Outside pilot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0" hidden="0" customWidth="1"/>
    <x:col min="4" max="4" width="12" hidden="0" customWidth="1"/>
    <x:col min="5" max="5" width="17" hidden="0" customWidth="1"/>
    <x:col min="6" max="6" width="20" hidden="0" customWidth="1"/>
    <x:col min="7" max="7" width="33" hidden="0" customWidth="1"/>
    <x:col min="8" max="8" width="29" hidden="0" customWidth="1"/>
    <x:col min="9" max="9" width="17" hidden="0" customWidth="1"/>
    <x:col min="10" max="10" width="15" hidden="0" customWidth="1"/>
  </x:cols>
  <x:sheetData>
    <x:row r="2">
      <x:c r="A2" s="16" t="str">
        <x:v>Data Mapping</x:v>
      </x:c>
    </x:row>
    <x:row r="3">
      <x:c r="A3" s="17" t="str">
        <x:v>Field-level lineage for CRM, AI orchestration, knowledge, audit, and analytics.</x:v>
      </x:c>
    </x:row>
    <x:row r="5">
      <x:c r="A5" s="5" t="str">
        <x:v>Business Field</x:v>
      </x:c>
      <x:c r="B5" s="5" t="str">
        <x:v>Source System</x:v>
      </x:c>
      <x:c r="C5" s="5" t="str">
        <x:v>Source Field</x:v>
      </x:c>
      <x:c r="D5" s="5" t="str">
        <x:v>Type</x:v>
      </x:c>
      <x:c r="E5" s="5" t="str">
        <x:v>Target System</x:v>
      </x:c>
      <x:c r="F5" s="5" t="str">
        <x:v>Target Field</x:v>
      </x:c>
      <x:c r="G5" s="5" t="str">
        <x:v>Transformation</x:v>
      </x:c>
      <x:c r="H5" s="5" t="str">
        <x:v>Validation</x:v>
      </x:c>
      <x:c r="I5" s="5" t="str">
        <x:v>Classification</x:v>
      </x:c>
      <x:c r="J5" s="5" t="str">
        <x:v>Retention</x:v>
      </x:c>
    </x:row>
    <x:row r="6">
      <x:c r="A6" s="8" t="str">
        <x:v>case_id</x:v>
      </x:c>
      <x:c r="B6" s="8" t="str">
        <x:v>CRM Case</x:v>
      </x:c>
      <x:c r="C6" s="8" t="str">
        <x:v>case_id</x:v>
      </x:c>
      <x:c r="D6" s="8" t="str">
        <x:v>UUID</x:v>
      </x:c>
      <x:c r="E6" s="8" t="str">
        <x:v>AI request</x:v>
      </x:c>
      <x:c r="F6" s="8" t="str">
        <x:v>caseId</x:v>
      </x:c>
      <x:c r="G6" s="8" t="str">
        <x:v>None</x:v>
      </x:c>
      <x:c r="H6" s="8" t="str">
        <x:v>Required; immutable</x:v>
      </x:c>
      <x:c r="I6" s="8" t="str">
        <x:v>Confidential</x:v>
      </x:c>
      <x:c r="J6" s="8" t="str">
        <x:v>CRM policy</x:v>
      </x:c>
    </x:row>
    <x:row r="7">
      <x:c r="A7" s="9" t="str">
        <x:v>customer_message</x:v>
      </x:c>
      <x:c r="B7" s="9" t="str">
        <x:v>CRM Case</x:v>
      </x:c>
      <x:c r="C7" s="9" t="str">
        <x:v>latest_message</x:v>
      </x:c>
      <x:c r="D7" s="9" t="str">
        <x:v>String</x:v>
      </x:c>
      <x:c r="E7" s="9" t="str">
        <x:v>AI request</x:v>
      </x:c>
      <x:c r="F7" s="9" t="str">
        <x:v>message</x:v>
      </x:c>
      <x:c r="G7" s="9" t="str">
        <x:v>Normalize and redact before LLM</x:v>
      </x:c>
      <x:c r="H7" s="9" t="str">
        <x:v>Required; max 20k chars</x:v>
      </x:c>
      <x:c r="I7" s="9" t="str">
        <x:v>Restricted</x:v>
      </x:c>
      <x:c r="J7" s="9" t="str">
        <x:v>CRM policy</x:v>
      </x:c>
    </x:row>
    <x:row r="8">
      <x:c r="A8" s="8" t="str">
        <x:v>channel</x:v>
      </x:c>
      <x:c r="B8" s="8" t="str">
        <x:v>CRM Case</x:v>
      </x:c>
      <x:c r="C8" s="8" t="str">
        <x:v>channel</x:v>
      </x:c>
      <x:c r="D8" s="8" t="str">
        <x:v>Enum</x:v>
      </x:c>
      <x:c r="E8" s="8" t="str">
        <x:v>AI request</x:v>
      </x:c>
      <x:c r="F8" s="8" t="str">
        <x:v>channel</x:v>
      </x:c>
      <x:c r="G8" s="8" t="str">
        <x:v>Map to EMAIL or WEB</x:v>
      </x:c>
      <x:c r="H8" s="8" t="str">
        <x:v>Pilot values only</x:v>
      </x:c>
      <x:c r="I8" s="8" t="str">
        <x:v>Internal</x:v>
      </x:c>
      <x:c r="J8" s="8" t="str">
        <x:v>13 months</x:v>
      </x:c>
    </x:row>
    <x:row r="9">
      <x:c r="A9" s="9" t="str">
        <x:v>customer_segment</x:v>
      </x:c>
      <x:c r="B9" s="9" t="str">
        <x:v>CRM Account</x:v>
      </x:c>
      <x:c r="C9" s="9" t="str">
        <x:v>segment</x:v>
      </x:c>
      <x:c r="D9" s="9" t="str">
        <x:v>Enum</x:v>
      </x:c>
      <x:c r="E9" s="9" t="str">
        <x:v>AI request</x:v>
      </x:c>
      <x:c r="F9" s="9" t="str">
        <x:v>customerSegment</x:v>
      </x:c>
      <x:c r="G9" s="9" t="str">
        <x:v>Approved lookup</x:v>
      </x:c>
      <x:c r="H9" s="9" t="str">
        <x:v>Unknown maps to STANDARD</x:v>
      </x:c>
      <x:c r="I9" s="9" t="str">
        <x:v>Confidential</x:v>
      </x:c>
      <x:c r="J9" s="9" t="str">
        <x:v>CRM policy</x:v>
      </x:c>
    </x:row>
    <x:row r="10">
      <x:c r="A10" s="8" t="str">
        <x:v>category</x:v>
      </x:c>
      <x:c r="B10" s="8" t="str">
        <x:v>AI response</x:v>
      </x:c>
      <x:c r="C10" s="8" t="str">
        <x:v>category</x:v>
      </x:c>
      <x:c r="D10" s="8" t="str">
        <x:v>Enum</x:v>
      </x:c>
      <x:c r="E10" s="8" t="str">
        <x:v>CRM Case</x:v>
      </x:c>
      <x:c r="F10" s="8" t="str">
        <x:v>ai_category</x:v>
      </x:c>
      <x:c r="G10" s="8" t="str">
        <x:v>Taxonomy version required</x:v>
      </x:c>
      <x:c r="H10" s="8" t="str">
        <x:v>Approved code</x:v>
      </x:c>
      <x:c r="I10" s="8" t="str">
        <x:v>Internal</x:v>
      </x:c>
      <x:c r="J10" s="8" t="str">
        <x:v>13 months</x:v>
      </x:c>
    </x:row>
    <x:row r="11">
      <x:c r="A11" s="9" t="str">
        <x:v>class_confidence</x:v>
      </x:c>
      <x:c r="B11" s="9" t="str">
        <x:v>AI response</x:v>
      </x:c>
      <x:c r="C11" s="9" t="str">
        <x:v>confidence</x:v>
      </x:c>
      <x:c r="D11" s="9" t="str">
        <x:v>Decimal</x:v>
      </x:c>
      <x:c r="E11" s="9" t="str">
        <x:v>CRM Case</x:v>
      </x:c>
      <x:c r="F11" s="9" t="str">
        <x:v>ai_confidence</x:v>
      </x:c>
      <x:c r="G11" s="9" t="str">
        <x:v>Round to 4 decimals</x:v>
      </x:c>
      <x:c r="H11" s="9" t="str">
        <x:v>0 to 1</x:v>
      </x:c>
      <x:c r="I11" s="9" t="str">
        <x:v>Internal</x:v>
      </x:c>
      <x:c r="J11" s="9" t="str">
        <x:v>13 months</x:v>
      </x:c>
    </x:row>
    <x:row r="12">
      <x:c r="A12" s="8" t="str">
        <x:v>risk_flags</x:v>
      </x:c>
      <x:c r="B12" s="8" t="str">
        <x:v>AI response</x:v>
      </x:c>
      <x:c r="C12" s="8" t="str">
        <x:v>riskFlags</x:v>
      </x:c>
      <x:c r="D12" s="8" t="str">
        <x:v>Array</x:v>
      </x:c>
      <x:c r="E12" s="8" t="str">
        <x:v>CRM Case</x:v>
      </x:c>
      <x:c r="F12" s="8" t="str">
        <x:v>ai_risk_flags</x:v>
      </x:c>
      <x:c r="G12" s="8" t="str">
        <x:v>Approved codes</x:v>
      </x:c>
      <x:c r="H12" s="8" t="str">
        <x:v>Multiple allowed</x:v>
      </x:c>
      <x:c r="I12" s="8" t="str">
        <x:v>Restricted</x:v>
      </x:c>
      <x:c r="J12" s="8" t="str">
        <x:v>13 months</x:v>
      </x:c>
    </x:row>
    <x:row r="13">
      <x:c r="A13" s="9" t="str">
        <x:v>source_ids</x:v>
      </x:c>
      <x:c r="B13" s="9" t="str">
        <x:v>Retrieval</x:v>
      </x:c>
      <x:c r="C13" s="9" t="str">
        <x:v>sources</x:v>
      </x:c>
      <x:c r="D13" s="9" t="str">
        <x:v>Array</x:v>
      </x:c>
      <x:c r="E13" s="9" t="str">
        <x:v>Audit Event</x:v>
      </x:c>
      <x:c r="F13" s="9" t="str">
        <x:v>source_ids</x:v>
      </x:c>
      <x:c r="G13" s="9" t="str">
        <x:v>Store ID and version</x:v>
      </x:c>
      <x:c r="H13" s="9" t="str">
        <x:v>At least one for draft</x:v>
      </x:c>
      <x:c r="I13" s="9" t="str">
        <x:v>Internal</x:v>
      </x:c>
      <x:c r="J13" s="9" t="str">
        <x:v>13 months</x:v>
      </x:c>
    </x:row>
    <x:row r="14">
      <x:c r="A14" s="8" t="str">
        <x:v>draft_text</x:v>
      </x:c>
      <x:c r="B14" s="8" t="str">
        <x:v>AI response</x:v>
      </x:c>
      <x:c r="C14" s="8" t="str">
        <x:v>draft</x:v>
      </x:c>
      <x:c r="D14" s="8" t="str">
        <x:v>String</x:v>
      </x:c>
      <x:c r="E14" s="8" t="str">
        <x:v>CRM Case</x:v>
      </x:c>
      <x:c r="F14" s="8" t="str">
        <x:v>ai_draft</x:v>
      </x:c>
      <x:c r="G14" s="8" t="str">
        <x:v>Preserve original</x:v>
      </x:c>
      <x:c r="H14" s="8" t="str">
        <x:v>No unsupported factual draft</x:v>
      </x:c>
      <x:c r="I14" s="8" t="str">
        <x:v>Restricted</x:v>
      </x:c>
      <x:c r="J14" s="8" t="str">
        <x:v>CRM policy</x:v>
      </x:c>
    </x:row>
    <x:row r="15">
      <x:c r="A15" s="9" t="str">
        <x:v>disposition</x:v>
      </x:c>
      <x:c r="B15" s="9" t="str">
        <x:v>Agent action</x:v>
      </x:c>
      <x:c r="C15" s="9" t="str">
        <x:v>action</x:v>
      </x:c>
      <x:c r="D15" s="9" t="str">
        <x:v>Enum</x:v>
      </x:c>
      <x:c r="E15" s="9" t="str">
        <x:v>Audit Event</x:v>
      </x:c>
      <x:c r="F15" s="9" t="str">
        <x:v>disposition</x:v>
      </x:c>
      <x:c r="G15" s="9" t="str">
        <x:v>Canonical codes</x:v>
      </x:c>
      <x:c r="H15" s="9" t="str">
        <x:v>Required</x:v>
      </x:c>
      <x:c r="I15" s="9" t="str">
        <x:v>Internal</x:v>
      </x:c>
      <x:c r="J15" s="9" t="str">
        <x:v>13 months</x:v>
      </x:c>
    </x:row>
    <x:row r="16">
      <x:c r="A16" s="8" t="str">
        <x:v>prompt_version</x:v>
      </x:c>
      <x:c r="B16" s="8" t="str">
        <x:v>Orchestrator</x:v>
      </x:c>
      <x:c r="C16" s="8" t="str">
        <x:v>promptVersion</x:v>
      </x:c>
      <x:c r="D16" s="8" t="str">
        <x:v>String</x:v>
      </x:c>
      <x:c r="E16" s="8" t="str">
        <x:v>Audit Event</x:v>
      </x:c>
      <x:c r="F16" s="8" t="str">
        <x:v>prompt_version</x:v>
      </x:c>
      <x:c r="G16" s="8" t="str">
        <x:v>None</x:v>
      </x:c>
      <x:c r="H16" s="8" t="str">
        <x:v>Required for draft</x:v>
      </x:c>
      <x:c r="I16" s="8" t="str">
        <x:v>Internal</x:v>
      </x:c>
      <x:c r="J16" s="8" t="str">
        <x:v>13 months</x:v>
      </x:c>
    </x:row>
    <x:row r="17">
      <x:c r="A17" s="9" t="str">
        <x:v>correlation_id</x:v>
      </x:c>
      <x:c r="B17" s="9" t="str">
        <x:v>Gateway</x:v>
      </x:c>
      <x:c r="C17" s="9" t="str">
        <x:v>correlationId</x:v>
      </x:c>
      <x:c r="D17" s="9" t="str">
        <x:v>UUID</x:v>
      </x:c>
      <x:c r="E17" s="9" t="str">
        <x:v>All services</x:v>
      </x:c>
      <x:c r="F17" s="9" t="str">
        <x:v>correlation_id</x:v>
      </x:c>
      <x:c r="G17" s="9" t="str">
        <x:v>Propagate unchanged</x:v>
      </x:c>
      <x:c r="H17" s="9" t="str">
        <x:v>Required</x:v>
      </x:c>
      <x:c r="I17" s="9" t="str">
        <x:v>Internal</x:v>
      </x:c>
      <x:c r="J17" s="9" t="str">
        <x:v>13 months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32" hidden="0" customWidth="1"/>
    <x:col min="4" max="4" width="35" hidden="0" customWidth="1"/>
    <x:col min="5" max="5" width="20" hidden="0" customWidth="1"/>
    <x:col min="6" max="6" width="28" hidden="0" customWidth="1"/>
    <x:col min="7" max="7" width="25" hidden="0" customWidth="1"/>
    <x:col min="8" max="8" width="22" hidden="0" customWidth="1"/>
    <x:col min="9" max="9" width="27" hidden="0" customWidth="1"/>
    <x:col min="10" max="10" width="16" hidden="0" customWidth="1"/>
  </x:cols>
  <x:sheetData>
    <x:row r="2">
      <x:c r="A2" s="16" t="str">
        <x:v>API Requirements</x:v>
      </x:c>
    </x:row>
    <x:row r="3">
      <x:c r="A3" s="17" t="str">
        <x:v>Interface contract and error-handling expectations for the pilot.</x:v>
      </x:c>
    </x:row>
    <x:row r="5">
      <x:c r="A5" s="5" t="str">
        <x:v>ID</x:v>
      </x:c>
      <x:c r="B5" s="5" t="str">
        <x:v>Method</x:v>
      </x:c>
      <x:c r="C5" s="5" t="str">
        <x:v>Endpoint</x:v>
      </x:c>
      <x:c r="D5" s="5" t="str">
        <x:v>Purpose</x:v>
      </x:c>
      <x:c r="E5" s="5" t="str">
        <x:v>Authentication</x:v>
      </x:c>
      <x:c r="F5" s="5" t="str">
        <x:v>Headers</x:v>
      </x:c>
      <x:c r="G5" s="5" t="str">
        <x:v>Request</x:v>
      </x:c>
      <x:c r="H5" s="5" t="str">
        <x:v>Success</x:v>
      </x:c>
      <x:c r="I5" s="5" t="str">
        <x:v>Errors</x:v>
      </x:c>
      <x:c r="J5" s="5" t="str">
        <x:v>Performance</x:v>
      </x:c>
    </x:row>
    <x:row r="6">
      <x:c r="A6" s="8" t="str">
        <x:v>API-001</x:v>
      </x:c>
      <x:c r="B6" s="8" t="str">
        <x:v>POST</x:v>
      </x:c>
      <x:c r="C6" s="8" t="str">
        <x:v>/v1/support/analyze</x:v>
      </x:c>
      <x:c r="D6" s="8" t="str">
        <x:v>Classify, risk score, retrieve, draft</x:v>
      </x:c>
      <x:c r="E6" s="8" t="str">
        <x:v>OAuth2 service token</x:v>
      </x:c>
      <x:c r="F6" s="8" t="str">
        <x:v>Idempotency-Key; X-Correlation-ID</x:v>
      </x:c>
      <x:c r="G6" s="8" t="str">
        <x:v>JSON request</x:v>
      </x:c>
      <x:c r="H6" s="8" t="str">
        <x:v>200 analysis result</x:v>
      </x:c>
      <x:c r="I6" s="8" t="str">
        <x:v>400,401,403,409,422,429,503</x:v>
      </x:c>
      <x:c r="J6" s="8" t="str">
        <x:v>8 sec p95</x:v>
      </x:c>
    </x:row>
    <x:row r="7">
      <x:c r="A7" s="9" t="str">
        <x:v>API-002</x:v>
      </x:c>
      <x:c r="B7" s="9" t="str">
        <x:v>POST</x:v>
      </x:c>
      <x:c r="C7" s="9" t="str">
        <x:v>/v1/support/{caseId}/feedback</x:v>
      </x:c>
      <x:c r="D7" s="9" t="str">
        <x:v>Record agent disposition</x:v>
      </x:c>
      <x:c r="E7" s="9" t="str">
        <x:v>OAuth2 user token</x:v>
      </x:c>
      <x:c r="F7" s="9" t="str">
        <x:v>X-Correlation-ID</x:v>
      </x:c>
      <x:c r="G7" s="9" t="str">
        <x:v>Disposition, reason, corrections</x:v>
      </x:c>
      <x:c r="H7" s="9" t="str">
        <x:v>201 feedback ID</x:v>
      </x:c>
      <x:c r="I7" s="9" t="str">
        <x:v>400,401,403,404,409</x:v>
      </x:c>
      <x:c r="J7" s="9" t="str">
        <x:v>3 sec p95</x:v>
      </x:c>
    </x:row>
    <x:row r="8">
      <x:c r="A8" s="8" t="str">
        <x:v>API-003</x:v>
      </x:c>
      <x:c r="B8" s="8" t="str">
        <x:v>POST</x:v>
      </x:c>
      <x:c r="C8" s="8" t="str">
        <x:v>/v1/knowledge/search</x:v>
      </x:c>
      <x:c r="D8" s="8" t="str">
        <x:v>Retrieve approved passages</x:v>
      </x:c>
      <x:c r="E8" s="8" t="str">
        <x:v>Service token</x:v>
      </x:c>
      <x:c r="F8" s="8" t="str">
        <x:v>X-Correlation-ID</x:v>
      </x:c>
      <x:c r="G8" s="8" t="str">
        <x:v>Query and access context</x:v>
      </x:c>
      <x:c r="H8" s="8" t="str">
        <x:v>200 ranked sources</x:v>
      </x:c>
      <x:c r="I8" s="8" t="str">
        <x:v>400,401,403,429,503</x:v>
      </x:c>
      <x:c r="J8" s="8" t="str">
        <x:v>3 sec p95</x:v>
      </x:c>
    </x:row>
    <x:row r="9">
      <x:c r="A9" s="9" t="str">
        <x:v>API-004</x:v>
      </x:c>
      <x:c r="B9" s="9" t="str">
        <x:v>GET</x:v>
      </x:c>
      <x:c r="C9" s="9" t="str">
        <x:v>/v1/policy/rules</x:v>
      </x:c>
      <x:c r="D9" s="9" t="str">
        <x:v>Read active routing rules</x:v>
      </x:c>
      <x:c r="E9" s="9" t="str">
        <x:v>Compliance role</x:v>
      </x:c>
      <x:c r="F9" s="9" t="str">
        <x:v>If-None-Match</x:v>
      </x:c>
      <x:c r="G9" s="9" t="str">
        <x:v>None</x:v>
      </x:c>
      <x:c r="H9" s="9" t="str">
        <x:v>200 rules and version</x:v>
      </x:c>
      <x:c r="I9" s="9" t="str">
        <x:v>401,403,404</x:v>
      </x:c>
      <x:c r="J9" s="9" t="str">
        <x:v>2 sec p95</x:v>
      </x:c>
    </x:row>
    <x:row r="10">
      <x:c r="A10" s="8" t="str">
        <x:v>API-005</x:v>
      </x:c>
      <x:c r="B10" s="8" t="str">
        <x:v>POST</x:v>
      </x:c>
      <x:c r="C10" s="8" t="str">
        <x:v>/v1/metrics/events</x:v>
      </x:c>
      <x:c r="D10" s="8" t="str">
        <x:v>Ingest audit and metric events</x:v>
      </x:c>
      <x:c r="E10" s="8" t="str">
        <x:v>Service token</x:v>
      </x:c>
      <x:c r="F10" s="8" t="str">
        <x:v>Idempotency-Key</x:v>
      </x:c>
      <x:c r="G10" s="8" t="str">
        <x:v>Event batch</x:v>
      </x:c>
      <x:c r="H10" s="8" t="str">
        <x:v>202 accepted IDs</x:v>
      </x:c>
      <x:c r="I10" s="8" t="str">
        <x:v>400,401,409,413,429,503</x:v>
      </x:c>
      <x:c r="J10" s="8" t="str">
        <x:v>5 sec p95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27" hidden="0" customWidth="1"/>
    <x:col min="4" max="4" width="26" hidden="0" customWidth="1"/>
    <x:col min="5" max="5" width="32" hidden="0" customWidth="1"/>
    <x:col min="6" max="6" width="42" hidden="0" customWidth="1"/>
    <x:col min="7" max="7" width="34" hidden="0" customWidth="1"/>
    <x:col min="8" max="8" width="13" hidden="0" customWidth="1"/>
    <x:col min="9" max="9" width="20" hidden="0" customWidth="1"/>
    <x:col min="10" max="10" width="13" hidden="0" customWidth="1"/>
    <x:col min="11" max="11" width="12" hidden="0" customWidth="1"/>
  </x:cols>
  <x:sheetData>
    <x:row r="2">
      <x:c r="A2" s="16" t="str">
        <x:v>UAT Plan and Test Cases</x:v>
      </x:c>
    </x:row>
    <x:row r="3">
      <x:c r="A3" s="17" t="str">
        <x:v>Business acceptance evidence. Update Actual Result, Status, Evidence, and Defect ID during execution.</x:v>
      </x:c>
    </x:row>
    <x:row r="5">
      <x:c r="A5" s="5" t="str">
        <x:v>Test ID</x:v>
      </x:c>
      <x:c r="B5" s="5" t="str">
        <x:v>Trace</x:v>
      </x:c>
      <x:c r="C5" s="5" t="str">
        <x:v>Scenario</x:v>
      </x:c>
      <x:c r="D5" s="5" t="str">
        <x:v>Precondition</x:v>
      </x:c>
      <x:c r="E5" s="5" t="str">
        <x:v>Steps</x:v>
      </x:c>
      <x:c r="F5" s="5" t="str">
        <x:v>Expected Result</x:v>
      </x:c>
      <x:c r="G5" s="5" t="str">
        <x:v>Actual Result</x:v>
      </x:c>
      <x:c r="H5" s="5" t="str">
        <x:v>Status</x:v>
      </x:c>
      <x:c r="I5" s="5" t="str">
        <x:v>Evidence</x:v>
      </x:c>
      <x:c r="J5" s="5" t="str">
        <x:v>Defect ID</x:v>
      </x:c>
      <x:c r="K5" s="5" t="str">
        <x:v>Priority</x:v>
      </x:c>
    </x:row>
    <x:row r="6">
      <x:c r="A6" s="8" t="str">
        <x:v>TC-001</x:v>
      </x:c>
      <x:c r="B6" s="8" t="str">
        <x:v>US-001</x:v>
      </x:c>
      <x:c r="C6" s="8" t="str">
        <x:v>Valid billing request</x:v>
      </x:c>
      <x:c r="D6" s="8" t="str">
        <x:v>Approved taxonomy loaded</x:v>
      </x:c>
      <x:c r="E6" s="8" t="str">
        <x:v>Submit duplicate-charge request</x:v>
      </x:c>
      <x:c r="F6" s="8" t="str">
        <x:v>Billing duplicate charge, confidence shown, normal priority</x:v>
      </x:c>
      <x:c r="G6" s="26" t="str"/>
      <x:c r="H6" s="26" t="str">
        <x:v>Not Run</x:v>
      </x:c>
      <x:c r="I6" s="26" t="str"/>
      <x:c r="J6" s="26" t="str"/>
      <x:c r="K6" s="8" t="str">
        <x:v>High</x:v>
      </x:c>
    </x:row>
    <x:row r="7">
      <x:c r="A7" s="9" t="str">
        <x:v>TC-002</x:v>
      </x:c>
      <x:c r="B7" s="9" t="str">
        <x:v>FR-009</x:v>
      </x:c>
      <x:c r="C7" s="9" t="str">
        <x:v>Confidence threshold boundary</x:v>
      </x:c>
      <x:c r="D7" s="9" t="str">
        <x:v>Threshold 0.80</x:v>
      </x:c>
      <x:c r="E7" s="9" t="str">
        <x:v>Test 0.79 and 0.80 scores</x:v>
      </x:c>
      <x:c r="F7" s="9" t="str">
        <x:v>0.79 routes to review; 0.80 follows risk and source rules</x:v>
      </x:c>
      <x:c r="G7" s="26" t="str"/>
      <x:c r="H7" s="26" t="str">
        <x:v>Not Run</x:v>
      </x:c>
      <x:c r="I7" s="26" t="str"/>
      <x:c r="J7" s="26" t="str"/>
      <x:c r="K7" s="9" t="str">
        <x:v>High</x:v>
      </x:c>
    </x:row>
    <x:row r="8">
      <x:c r="A8" s="8" t="str">
        <x:v>TC-003</x:v>
      </x:c>
      <x:c r="B8" s="8" t="str">
        <x:v>US-002</x:v>
      </x:c>
      <x:c r="C8" s="8" t="str">
        <x:v>Approved source cited</x:v>
      </x:c>
      <x:c r="D8" s="8" t="str">
        <x:v>Active KB-184</x:v>
      </x:c>
      <x:c r="E8" s="8" t="str">
        <x:v>Analyze supported billing request</x:v>
      </x:c>
      <x:c r="F8" s="8" t="str">
        <x:v>Draft cites KB-184 version and opens source</x:v>
      </x:c>
      <x:c r="G8" s="26" t="str"/>
      <x:c r="H8" s="26" t="str">
        <x:v>Not Run</x:v>
      </x:c>
      <x:c r="I8" s="26" t="str"/>
      <x:c r="J8" s="26" t="str"/>
      <x:c r="K8" s="8" t="str">
        <x:v>High</x:v>
      </x:c>
    </x:row>
    <x:row r="9">
      <x:c r="A9" s="9" t="str">
        <x:v>TC-004</x:v>
      </x:c>
      <x:c r="B9" s="9" t="str">
        <x:v>FR-007</x:v>
      </x:c>
      <x:c r="C9" s="9" t="str">
        <x:v>No approved source</x:v>
      </x:c>
      <x:c r="D9" s="9" t="str">
        <x:v>No matching source</x:v>
      </x:c>
      <x:c r="E9" s="9" t="str">
        <x:v>Analyze unsupported question</x:v>
      </x:c>
      <x:c r="F9" s="9" t="str">
        <x:v>No factual draft; agent research instruction appears</x:v>
      </x:c>
      <x:c r="G9" s="26" t="str"/>
      <x:c r="H9" s="26" t="str">
        <x:v>Not Run</x:v>
      </x:c>
      <x:c r="I9" s="26" t="str"/>
      <x:c r="J9" s="26" t="str"/>
      <x:c r="K9" s="9" t="str">
        <x:v>Critical</x:v>
      </x:c>
    </x:row>
    <x:row r="10">
      <x:c r="A10" s="8" t="str">
        <x:v>TC-005</x:v>
      </x:c>
      <x:c r="B10" s="8" t="str">
        <x:v>US-003</x:v>
      </x:c>
      <x:c r="C10" s="8" t="str">
        <x:v>High-risk topic override</x:v>
      </x:c>
      <x:c r="D10" s="8" t="str">
        <x:v>Privacy risk rule active</x:v>
      </x:c>
      <x:c r="E10" s="8" t="str">
        <x:v>Submit privacy deletion complaint with 0.95 confidence</x:v>
      </x:c>
      <x:c r="F10" s="8" t="str">
        <x:v>Specialist routing and send blocked</x:v>
      </x:c>
      <x:c r="G10" s="26" t="str"/>
      <x:c r="H10" s="26" t="str">
        <x:v>Not Run</x:v>
      </x:c>
      <x:c r="I10" s="26" t="str"/>
      <x:c r="J10" s="26" t="str"/>
      <x:c r="K10" s="8" t="str">
        <x:v>Critical</x:v>
      </x:c>
    </x:row>
    <x:row r="11">
      <x:c r="A11" s="9" t="str">
        <x:v>TC-006</x:v>
      </x:c>
      <x:c r="B11" s="9" t="str">
        <x:v>FR-010</x:v>
      </x:c>
      <x:c r="C11" s="9" t="str">
        <x:v>Threat and safety routing</x:v>
      </x:c>
      <x:c r="D11" s="9" t="str">
        <x:v>Safety rule active</x:v>
      </x:c>
      <x:c r="E11" s="9" t="str">
        <x:v>Submit threat content</x:v>
      </x:c>
      <x:c r="F11" s="9" t="str">
        <x:v>Specialist routing before drafting</x:v>
      </x:c>
      <x:c r="G11" s="26" t="str"/>
      <x:c r="H11" s="26" t="str">
        <x:v>Not Run</x:v>
      </x:c>
      <x:c r="I11" s="26" t="str"/>
      <x:c r="J11" s="26" t="str"/>
      <x:c r="K11" s="9" t="str">
        <x:v>Critical</x:v>
      </x:c>
    </x:row>
    <x:row r="12">
      <x:c r="A12" s="8" t="str">
        <x:v>TC-007</x:v>
      </x:c>
      <x:c r="B12" s="8" t="str">
        <x:v>US-004</x:v>
      </x:c>
      <x:c r="C12" s="8" t="str">
        <x:v>Reject requires reason</x:v>
      </x:c>
      <x:c r="D12" s="8" t="str">
        <x:v>Draft available</x:v>
      </x:c>
      <x:c r="E12" s="8" t="str">
        <x:v>Choose Reject without and with reason</x:v>
      </x:c>
      <x:c r="F12" s="8" t="str">
        <x:v>Cannot submit without reason; event recorded with reason</x:v>
      </x:c>
      <x:c r="G12" s="26" t="str"/>
      <x:c r="H12" s="26" t="str">
        <x:v>Not Run</x:v>
      </x:c>
      <x:c r="I12" s="26" t="str"/>
      <x:c r="J12" s="26" t="str"/>
      <x:c r="K12" s="8" t="str">
        <x:v>High</x:v>
      </x:c>
    </x:row>
    <x:row r="13">
      <x:c r="A13" s="9" t="str">
        <x:v>TC-008</x:v>
      </x:c>
      <x:c r="B13" s="9" t="str">
        <x:v>FR-014</x:v>
      </x:c>
      <x:c r="C13" s="9" t="str">
        <x:v>Complete audit trail</x:v>
      </x:c>
      <x:c r="D13" s="9" t="str">
        <x:v>Approved draft</x:v>
      </x:c>
      <x:c r="E13" s="9" t="str">
        <x:v>Approve and send response</x:v>
      </x:c>
      <x:c r="F13" s="9" t="str">
        <x:v>Case, model, prompt, source, actor, disposition and timestamps linked</x:v>
      </x:c>
      <x:c r="G13" s="26" t="str"/>
      <x:c r="H13" s="26" t="str">
        <x:v>Not Run</x:v>
      </x:c>
      <x:c r="I13" s="26" t="str"/>
      <x:c r="J13" s="26" t="str"/>
      <x:c r="K13" s="9" t="str">
        <x:v>Critical</x:v>
      </x:c>
    </x:row>
    <x:row r="14">
      <x:c r="A14" s="8" t="str">
        <x:v>TC-009</x:v>
      </x:c>
      <x:c r="B14" s="8" t="str">
        <x:v>US-008</x:v>
      </x:c>
      <x:c r="C14" s="8" t="str">
        <x:v>Idempotent retry</x:v>
      </x:c>
      <x:c r="D14" s="8" t="str">
        <x:v>Known idempotency key</x:v>
      </x:c>
      <x:c r="E14" s="8" t="str">
        <x:v>Repeat analyze request</x:v>
      </x:c>
      <x:c r="F14" s="8" t="str">
        <x:v>Original result returned; no duplicate events</x:v>
      </x:c>
      <x:c r="G14" s="26" t="str"/>
      <x:c r="H14" s="26" t="str">
        <x:v>Not Run</x:v>
      </x:c>
      <x:c r="I14" s="26" t="str"/>
      <x:c r="J14" s="26" t="str"/>
      <x:c r="K14" s="8" t="str">
        <x:v>High</x:v>
      </x:c>
    </x:row>
    <x:row r="15">
      <x:c r="A15" s="9" t="str">
        <x:v>TC-010</x:v>
      </x:c>
      <x:c r="B15" s="9" t="str">
        <x:v>US-007</x:v>
      </x:c>
      <x:c r="C15" s="9" t="str">
        <x:v>Excluded knowledge</x:v>
      </x:c>
      <x:c r="D15" s="9" t="str">
        <x:v>Article initially active</x:v>
      </x:c>
      <x:c r="E15" s="9" t="str">
        <x:v>Exclude article and search after 15 minutes</x:v>
      </x:c>
      <x:c r="F15" s="9" t="str">
        <x:v>Article absent and change logged</x:v>
      </x:c>
      <x:c r="G15" s="26" t="str"/>
      <x:c r="H15" s="26" t="str">
        <x:v>Not Run</x:v>
      </x:c>
      <x:c r="I15" s="26" t="str"/>
      <x:c r="J15" s="26" t="str"/>
      <x:c r="K15" s="9" t="str">
        <x:v>High</x:v>
      </x:c>
    </x:row>
    <x:row r="16">
      <x:c r="A16" s="8" t="str">
        <x:v>TC-011</x:v>
      </x:c>
      <x:c r="B16" s="8" t="str">
        <x:v>NFR-006</x:v>
      </x:c>
      <x:c r="C16" s="8" t="str">
        <x:v>Sensitive data redaction</x:v>
      </x:c>
      <x:c r="D16" s="8" t="str">
        <x:v>Redaction configured</x:v>
      </x:c>
      <x:c r="E16" s="8" t="str">
        <x:v>Submit message with test SSN and email</x:v>
      </x:c>
      <x:c r="F16" s="8" t="str">
        <x:v>Prohibited identifier absent from model payload; event logged</x:v>
      </x:c>
      <x:c r="G16" s="26" t="str"/>
      <x:c r="H16" s="26" t="str">
        <x:v>Not Run</x:v>
      </x:c>
      <x:c r="I16" s="26" t="str"/>
      <x:c r="J16" s="26" t="str"/>
      <x:c r="K16" s="8" t="str">
        <x:v>Critical</x:v>
      </x:c>
    </x:row>
    <x:row r="17">
      <x:c r="A17" s="9" t="str">
        <x:v>TC-012</x:v>
      </x:c>
      <x:c r="B17" s="9" t="str">
        <x:v>FR-020</x:v>
      </x:c>
      <x:c r="C17" s="9" t="str">
        <x:v>Provider failure fallback</x:v>
      </x:c>
      <x:c r="D17" s="9" t="str">
        <x:v>Failure simulation enabled</x:v>
      </x:c>
      <x:c r="E17" s="9" t="str">
        <x:v>Trigger provider timeout</x:v>
      </x:c>
      <x:c r="F17" s="9" t="str">
        <x:v>Manual CRM workflow available and case preserved</x:v>
      </x:c>
      <x:c r="G17" s="26" t="str"/>
      <x:c r="H17" s="26" t="str">
        <x:v>Not Run</x:v>
      </x:c>
      <x:c r="I17" s="26" t="str"/>
      <x:c r="J17" s="26" t="str"/>
      <x:c r="K17" s="9" t="str">
        <x:v>Critical</x:v>
      </x:c>
    </x:row>
    <x:row r="18">
      <x:c r="A18" s="8" t="str">
        <x:v>TC-013</x:v>
      </x:c>
      <x:c r="B18" s="8" t="str">
        <x:v>NFR-005</x:v>
      </x:c>
      <x:c r="C18" s="8" t="str">
        <x:v>Role access</x:v>
      </x:c>
      <x:c r="D18" s="8" t="str">
        <x:v>Agent and compliance users</x:v>
      </x:c>
      <x:c r="E18" s="8" t="str">
        <x:v>Open rule administration as each role</x:v>
      </x:c>
      <x:c r="F18" s="8" t="str">
        <x:v>Agent denied; compliance user allowed; decisions logged</x:v>
      </x:c>
      <x:c r="G18" s="26" t="str"/>
      <x:c r="H18" s="26" t="str">
        <x:v>Not Run</x:v>
      </x:c>
      <x:c r="I18" s="26" t="str"/>
      <x:c r="J18" s="26" t="str"/>
      <x:c r="K18" s="8" t="str">
        <x:v>High</x:v>
      </x:c>
    </x:row>
    <x:row r="19">
      <x:c r="A19" s="9" t="str">
        <x:v>TC-014</x:v>
      </x:c>
      <x:c r="B19" s="9" t="str">
        <x:v>US-005</x:v>
      </x:c>
      <x:c r="C19" s="9" t="str">
        <x:v>KPI filter and drill-through</x:v>
      </x:c>
      <x:c r="D19" s="9" t="str">
        <x:v>Pilot events loaded</x:v>
      </x:c>
      <x:c r="E19" s="9" t="str">
        <x:v>Filter by date and category</x:v>
      </x:c>
      <x:c r="F19" s="9" t="str">
        <x:v>Metrics and records reflect filter population</x:v>
      </x:c>
      <x:c r="G19" s="26" t="str"/>
      <x:c r="H19" s="26" t="str">
        <x:v>Not Run</x:v>
      </x:c>
      <x:c r="I19" s="26" t="str"/>
      <x:c r="J19" s="26" t="str"/>
      <x:c r="K19" s="9" t="str">
        <x:v>Medium</x:v>
      </x:c>
    </x:row>
    <x:row r="20">
      <x:c r="A20" s="8" t="str">
        <x:v>TC-015</x:v>
      </x:c>
      <x:c r="B20" s="8" t="str">
        <x:v>FR-016</x:v>
      </x:c>
      <x:c r="C20" s="8" t="str">
        <x:v>Dashboard reconciliation</x:v>
      </x:c>
      <x:c r="D20" s="8" t="str">
        <x:v>Known event sample</x:v>
      </x:c>
      <x:c r="E20" s="8" t="str">
        <x:v>Compare dashboard to SQL control totals</x:v>
      </x:c>
      <x:c r="F20" s="8" t="str">
        <x:v>Counts and rates match within defined rounding</x:v>
      </x:c>
      <x:c r="G20" s="26" t="str"/>
      <x:c r="H20" s="26" t="str">
        <x:v>Not Run</x:v>
      </x:c>
      <x:c r="I20" s="26" t="str"/>
      <x:c r="J20" s="26" t="str"/>
      <x:c r="K20" s="8" t="str">
        <x:v>High</x:v>
      </x:c>
    </x:row>
  </x:sheetData>
  <x:mergeCells>
    <x:mergeCell ref="A2:L2"/>
    <x:mergeCell ref="A3:L3"/>
  </x:mergeCells>
  <x:dataValidations count="1">
    <x:dataValidation type="list" sqref="H6:H20">
      <x:formula1>"Not Run,Pass,Fail,Blocked"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40" hidden="0" customWidth="1"/>
    <x:col min="4" max="4" width="13" hidden="0" customWidth="1"/>
    <x:col min="5" max="5" width="18" hidden="0" customWidth="1"/>
    <x:col min="6" max="6" width="16" hidden="0" customWidth="1"/>
    <x:col min="7" max="7" width="14" hidden="0" customWidth="1"/>
    <x:col min="8" max="8" width="14" hidden="0" customWidth="1"/>
    <x:col min="9" max="9" width="15" hidden="0" customWidth="1"/>
    <x:col min="10" max="10" width="38" hidden="0" customWidth="1"/>
    <x:col min="11" max="11" width="38" hidden="0" customWidth="1"/>
    <x:col min="12" max="12" width="16" hidden="0" customWidth="1"/>
    <x:col min="13" max="13" width="14" hidden="0" customWidth="1"/>
  </x:cols>
  <x:sheetData>
    <x:row r="2">
      <x:c r="A2" s="16" t="str">
        <x:v>Defect Log</x:v>
      </x:c>
    </x:row>
    <x:row r="3">
      <x:c r="A3" s="17" t="str">
        <x:v>Illustrative defects identified during system testing. UAT defects should use the same schema.</x:v>
      </x:c>
    </x:row>
    <x:row r="5">
      <x:c r="A5" s="5" t="str">
        <x:v>Defect ID</x:v>
      </x:c>
      <x:c r="B5" s="5" t="str">
        <x:v>Test ID</x:v>
      </x:c>
      <x:c r="C5" s="5" t="str">
        <x:v>Summary</x:v>
      </x:c>
      <x:c r="D5" s="5" t="str">
        <x:v>Severity</x:v>
      </x:c>
      <x:c r="E5" s="5" t="str">
        <x:v>Status</x:v>
      </x:c>
      <x:c r="F5" s="5" t="str">
        <x:v>Owner</x:v>
      </x:c>
      <x:c r="G5" s="5" t="str">
        <x:v>Opened</x:v>
      </x:c>
      <x:c r="H5" s="5" t="str">
        <x:v>Target</x:v>
      </x:c>
      <x:c r="I5" s="5" t="str">
        <x:v>Area</x:v>
      </x:c>
      <x:c r="J5" s="5" t="str">
        <x:v>Observed</x:v>
      </x:c>
      <x:c r="K5" s="5" t="str">
        <x:v>Resolution</x:v>
      </x:c>
      <x:c r="L5" s="5" t="str">
        <x:v>Retest</x:v>
      </x:c>
      <x:c r="M5" s="5" t="str">
        <x:v>Closed</x:v>
      </x:c>
    </x:row>
    <x:row r="6">
      <x:c r="A6" s="8" t="str">
        <x:v>DEF-001</x:v>
      </x:c>
      <x:c r="B6" s="8" t="str">
        <x:v>TC-002</x:v>
      </x:c>
      <x:c r="C6" s="8" t="str">
        <x:v>Threshold rounds 0.795 to 0.80 before routing</x:v>
      </x:c>
      <x:c r="D6" s="8" t="str">
        <x:v>2 High</x:v>
      </x:c>
      <x:c r="E6" s="8" t="str">
        <x:v>Open</x:v>
      </x:c>
      <x:c r="F6" s="8" t="str">
        <x:v>Engineering</x:v>
      </x:c>
      <x:c r="G6" s="8" t="str">
        <x:v>2026-09-16</x:v>
      </x:c>
      <x:c r="H6" s="8" t="str">
        <x:v>2026-09-20</x:v>
      </x:c>
      <x:c r="I6" s="8" t="str">
        <x:v>Routing</x:v>
      </x:c>
      <x:c r="J6" s="8" t="str">
        <x:v>0.795 displays as 0.80 and bypasses review</x:v>
      </x:c>
      <x:c r="K6" s="8" t="str">
        <x:v>Compare using unrounded value; display separately</x:v>
      </x:c>
      <x:c r="L6" s="26" t="str"/>
      <x:c r="M6" s="26" t="str"/>
    </x:row>
    <x:row r="7">
      <x:c r="A7" s="9" t="str">
        <x:v>DEF-002</x:v>
      </x:c>
      <x:c r="B7" s="9" t="str">
        <x:v>TC-008</x:v>
      </x:c>
      <x:c r="C7" s="9" t="str">
        <x:v>Audit event omits knowledge version after agent edit</x:v>
      </x:c>
      <x:c r="D7" s="9" t="str">
        <x:v>1 Critical</x:v>
      </x:c>
      <x:c r="E7" s="9" t="str">
        <x:v>In Progress</x:v>
      </x:c>
      <x:c r="F7" s="9" t="str">
        <x:v>Engineering</x:v>
      </x:c>
      <x:c r="G7" s="9" t="str">
        <x:v>2026-09-16</x:v>
      </x:c>
      <x:c r="H7" s="9" t="str">
        <x:v>2026-09-19</x:v>
      </x:c>
      <x:c r="I7" s="9" t="str">
        <x:v>Audit</x:v>
      </x:c>
      <x:c r="J7" s="9" t="str">
        <x:v>Edited response retains source ID but loses version</x:v>
      </x:c>
      <x:c r="K7" s="9" t="str">
        <x:v>Persist retrieval snapshot with disposition event</x:v>
      </x:c>
      <x:c r="L7" s="26" t="str"/>
      <x:c r="M7" s="26" t="str"/>
    </x:row>
    <x:row r="8">
      <x:c r="A8" s="8" t="str">
        <x:v>DEF-003</x:v>
      </x:c>
      <x:c r="B8" s="8" t="str">
        <x:v>TC-014</x:v>
      </x:c>
      <x:c r="C8" s="8" t="str">
        <x:v>Category filter excludes cases corrected by agent</x:v>
      </x:c>
      <x:c r="D8" s="8" t="str">
        <x:v>3 Medium</x:v>
      </x:c>
      <x:c r="E8" s="8" t="str">
        <x:v>Ready to Retest</x:v>
      </x:c>
      <x:c r="F8" s="8" t="str">
        <x:v>Data</x:v>
      </x:c>
      <x:c r="G8" s="8" t="str">
        <x:v>2026-09-17</x:v>
      </x:c>
      <x:c r="H8" s="8" t="str">
        <x:v>2026-09-21</x:v>
      </x:c>
      <x:c r="I8" s="8" t="str">
        <x:v>Dashboard</x:v>
      </x:c>
      <x:c r="J8" s="8" t="str">
        <x:v>Dashboard uses original AI category</x:v>
      </x:c>
      <x:c r="K8" s="8" t="str">
        <x:v>Use final category with original available for analysis</x:v>
      </x:c>
      <x:c r="L8" s="26" t="str"/>
      <x:c r="M8" s="26" t="str"/>
    </x:row>
    <x:row r="9">
      <x:c r="A9" s="9" t="str">
        <x:v>DEF-004</x:v>
      </x:c>
      <x:c r="B9" s="9" t="str">
        <x:v>TC-011</x:v>
      </x:c>
      <x:c r="C9" s="9" t="str">
        <x:v>Redaction misses spaced test identifier</x:v>
      </x:c>
      <x:c r="D9" s="9" t="str">
        <x:v>2 High</x:v>
      </x:c>
      <x:c r="E9" s="9" t="str">
        <x:v>Open</x:v>
      </x:c>
      <x:c r="F9" s="9" t="str">
        <x:v>Security</x:v>
      </x:c>
      <x:c r="G9" s="9" t="str">
        <x:v>2026-09-17</x:v>
      </x:c>
      <x:c r="H9" s="9" t="str">
        <x:v>2026-09-20</x:v>
      </x:c>
      <x:c r="I9" s="9" t="str">
        <x:v>Privacy</x:v>
      </x:c>
      <x:c r="J9" s="9" t="str">
        <x:v>Pattern with spaces reaches model payload</x:v>
      </x:c>
      <x:c r="K9" s="9" t="str">
        <x:v>Add normalization and test variants</x:v>
      </x:c>
      <x:c r="L9" s="26" t="str"/>
      <x:c r="M9" s="26" t="str"/>
    </x:row>
  </x:sheetData>
  <x:mergeCells>
    <x:mergeCell ref="A2:K2"/>
    <x:mergeCell ref="A3:K3"/>
  </x:mergeCells>
  <x:dataValidations count="1">
    <x:dataValidation type="list" sqref="E6:E9">
      <x:formula1>"Open,In Progress,Ready to Retest,Closed,Deferred"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48" hidden="0" customWidth="1"/>
    <x:col min="2" max="2" width="48" hidden="0" customWidth="1"/>
    <x:col min="3" max="3" width="27" hidden="0" customWidth="1"/>
    <x:col min="4" max="4" width="18" hidden="0" customWidth="1"/>
    <x:col min="5" max="5" width="31" hidden="0" customWidth="1"/>
    <x:col min="6" max="6" width="34" hidden="0" customWidth="1"/>
    <x:col min="7" max="7" width="18" hidden="0" customWidth="1"/>
  </x:cols>
  <x:sheetData>
    <x:row r="2">
      <x:c r="A2" s="16" t="str">
        <x:v>AI Evaluation and Outcome Study</x:v>
      </x:c>
    </x:row>
    <x:row r="3">
      <x:c r="A3" s="17" t="str">
        <x:v>Pre-specified measures, samples, thresholds, and interpretation rules for the pilot.</x:v>
      </x:c>
    </x:row>
    <x:row r="5">
      <x:c r="A5" s="5" t="str">
        <x:v>Dimension</x:v>
      </x:c>
      <x:c r="B5" s="5" t="str">
        <x:v>Measure</x:v>
      </x:c>
      <x:c r="C5" s="5" t="str">
        <x:v>Population</x:v>
      </x:c>
      <x:c r="D5" s="5" t="str">
        <x:v>Threshold</x:v>
      </x:c>
      <x:c r="E5" s="5" t="str">
        <x:v>Analysis Rule</x:v>
      </x:c>
      <x:c r="F5" s="5" t="str">
        <x:v>Why It Matters</x:v>
      </x:c>
      <x:c r="G5" s="5" t="str">
        <x:v>Owner</x:v>
      </x:c>
    </x:row>
    <x:row r="6">
      <x:c r="A6" s="8" t="str">
        <x:v>Intent classification</x:v>
      </x:c>
      <x:c r="B6" s="8" t="str">
        <x:v>Macro F1</x:v>
      </x:c>
      <x:c r="C6" s="8" t="str">
        <x:v>Stratified labeled set</x:v>
      </x:c>
      <x:c r="D6" s="8" t="str">
        <x:v>≥ 0.88</x:v>
      </x:c>
      <x:c r="E6" s="8" t="str">
        <x:v>Report per-class recall</x:v>
      </x:c>
      <x:c r="F6" s="8" t="str">
        <x:v>Balances common and rare classes</x:v>
      </x:c>
      <x:c r="G6" s="8" t="str">
        <x:v>Data Lead</x:v>
      </x:c>
    </x:row>
    <x:row r="7">
      <x:c r="A7" s="9" t="str">
        <x:v>Critical intent</x:v>
      </x:c>
      <x:c r="B7" s="9" t="str">
        <x:v>Recall</x:v>
      </x:c>
      <x:c r="C7" s="9" t="str">
        <x:v>All critical labeled cases</x:v>
      </x:c>
      <x:c r="D7" s="9" t="str">
        <x:v>≥ 0.95 per class</x:v>
      </x:c>
      <x:c r="E7" s="9" t="str">
        <x:v>No class hidden by average</x:v>
      </x:c>
      <x:c r="F7" s="9" t="str">
        <x:v>Protects asymmetric-risk categories</x:v>
      </x:c>
      <x:c r="G7" s="9" t="str">
        <x:v>Compliance</x:v>
      </x:c>
    </x:row>
    <x:row r="8">
      <x:c r="A8" s="8" t="str">
        <x:v>Risk detection</x:v>
      </x:c>
      <x:c r="B8" s="8" t="str">
        <x:v>Recall and lower 95% bound</x:v>
      </x:c>
      <x:c r="C8" s="8" t="str">
        <x:v>Adjudicated high-risk set</x:v>
      </x:c>
      <x:c r="D8" s="8" t="str">
        <x:v>100% observed</x:v>
      </x:c>
      <x:c r="E8" s="8" t="str">
        <x:v>Report confidence bound</x:v>
      </x:c>
      <x:c r="F8" s="8" t="str">
        <x:v>Quantifies uncertainty despite zero observed misses</x:v>
      </x:c>
      <x:c r="G8" s="8" t="str">
        <x:v>Compliance</x:v>
      </x:c>
    </x:row>
    <x:row r="9">
      <x:c r="A9" s="9" t="str">
        <x:v>Confidence</x:v>
      </x:c>
      <x:c r="B9" s="9" t="str">
        <x:v>Expected calibration error</x:v>
      </x:c>
      <x:c r="C9" s="9" t="str">
        <x:v>Labeled validation set</x:v>
      </x:c>
      <x:c r="D9" s="9" t="str">
        <x:v>≤ 0.05</x:v>
      </x:c>
      <x:c r="E9" s="9" t="str">
        <x:v>Reliability curve required</x:v>
      </x:c>
      <x:c r="F9" s="9" t="str">
        <x:v>Supports defensible threshold selection</x:v>
      </x:c>
      <x:c r="G9" s="9" t="str">
        <x:v>ML Lead</x:v>
      </x:c>
    </x:row>
    <x:row r="10">
      <x:c r="A10" s="8" t="str">
        <x:v>Grounding</x:v>
      </x:c>
      <x:c r="B10" s="8" t="str">
        <x:v>Supported-claim rate</x:v>
      </x:c>
      <x:c r="C10" s="8" t="str">
        <x:v>Blind weekly draft sample</x:v>
      </x:c>
      <x:c r="D10" s="8" t="str">
        <x:v>≥ 98%</x:v>
      </x:c>
      <x:c r="E10" s="8" t="str">
        <x:v>95% confidence interval</x:v>
      </x:c>
      <x:c r="F10" s="8" t="str">
        <x:v>Tests factual support, not fluency</x:v>
      </x:c>
      <x:c r="G10" s="8" t="str">
        <x:v>Quality Lead</x:v>
      </x:c>
    </x:row>
    <x:row r="11">
      <x:c r="A11" s="9" t="str">
        <x:v>Retrieval</x:v>
      </x:c>
      <x:c r="B11" s="9" t="str">
        <x:v>Recall at 5</x:v>
      </x:c>
      <x:c r="C11" s="9" t="str">
        <x:v>Answerable benchmark</x:v>
      </x:c>
      <x:c r="D11" s="9" t="str">
        <x:v>≥ 95%</x:v>
      </x:c>
      <x:c r="E11" s="9" t="str">
        <x:v>Source must contain needed evidence</x:v>
      </x:c>
      <x:c r="F11" s="9" t="str">
        <x:v>Separates retrieval from generation failure</x:v>
      </x:c>
      <x:c r="G11" s="9" t="str">
        <x:v>Knowledge Owner</x:v>
      </x:c>
    </x:row>
    <x:row r="12">
      <x:c r="A12" s="8" t="str">
        <x:v>Operational effect</x:v>
      </x:c>
      <x:c r="B12" s="8" t="str">
        <x:v>Handling minutes per resolved case</x:v>
      </x:c>
      <x:c r="C12" s="8" t="str">
        <x:v>Eligible pilot and comparison cases</x:v>
      </x:c>
      <x:c r="D12" s="8" t="str">
        <x:v>Improvement</x:v>
      </x:c>
      <x:c r="E12" s="8" t="str">
        <x:v>Adjust for category and complexity</x:v>
      </x:c>
      <x:c r="F12" s="8" t="str">
        <x:v>Measures labor effect</x:v>
      </x:c>
      <x:c r="G12" s="8" t="str">
        <x:v>Support Manager</x:v>
      </x:c>
    </x:row>
    <x:row r="13">
      <x:c r="A13" s="9" t="str">
        <x:v>Customer outcome</x:v>
      </x:c>
      <x:c r="B13" s="9" t="str">
        <x:v>CSAT and reopen rate</x:v>
      </x:c>
      <x:c r="C13" s="9" t="str">
        <x:v>Survey and CRM records</x:v>
      </x:c>
      <x:c r="D13" s="9" t="str">
        <x:v>No material deterioration</x:v>
      </x:c>
      <x:c r="E13" s="9" t="str">
        <x:v>Report response and missingness</x:v>
      </x:c>
      <x:c r="F13" s="9" t="str">
        <x:v>Protects outcome quality</x:v>
      </x:c>
      <x:c r="G13" s="9" t="str">
        <x:v>Product</x:v>
      </x:c>
    </x:row>
    <x:row r="14">
      <x:c r="A14" s="8" t="str">
        <x:v>Fairness</x:v>
      </x:c>
      <x:c r="B14" s="8" t="str">
        <x:v>Error and escalation difference</x:v>
      </x:c>
      <x:c r="C14" s="8" t="str">
        <x:v>Approved customer segments</x:v>
      </x:c>
      <x:c r="D14" s="8" t="str">
        <x:v>Investigate material gap</x:v>
      </x:c>
      <x:c r="E14" s="8" t="str">
        <x:v>Minimum subgroup size applies</x:v>
      </x:c>
      <x:c r="F14" s="8" t="str">
        <x:v>Detects hidden aggregate disparities</x:v>
      </x:c>
      <x:c r="G14" s="8" t="str">
        <x:v>Compliance</x:v>
      </x:c>
    </x:row>
    <x:row r="17">
      <x:c r="A17" s="27" t="str">
        <x:v>Study design field</x:v>
      </x:c>
      <x:c r="B17" s="27" t="str">
        <x:v>Specification</x:v>
      </x:c>
      <x:c r="C17" s="27" t="str"/>
      <x:c r="D17" s="27" t="str"/>
      <x:c r="E17" s="27" t="str"/>
      <x:c r="F17" s="27" t="str"/>
      <x:c r="G17" s="27" t="str"/>
    </x:row>
    <x:row r="18">
      <x:c r="A18" s="31" t="str">
        <x:v>Unit of analysis</x:v>
      </x:c>
      <x:c r="B18" s="32" t="str">
        <x:v>Customer case</x:v>
      </x:c>
    </x:row>
    <x:row r="19">
      <x:c r="A19" s="31" t="str">
        <x:v>Primary comparison</x:v>
      </x:c>
      <x:c r="B19" s="32" t="str">
        <x:v>Eligible cases assigned AI assistance versus business-as-usual</x:v>
      </x:c>
    </x:row>
    <x:row r="20">
      <x:c r="A20" s="31" t="str">
        <x:v>Assignment</x:v>
      </x:c>
      <x:c r="B20" s="32" t="str">
        <x:v>Randomized within category and shift when operationally feasible</x:v>
      </x:c>
    </x:row>
    <x:row r="21">
      <x:c r="A21" s="31" t="str">
        <x:v>Contamination control</x:v>
      </x:c>
      <x:c r="B21" s="32" t="str">
        <x:v>All messages in one case remain in one group</x:v>
      </x:c>
    </x:row>
    <x:row r="22">
      <x:c r="A22" s="31" t="str">
        <x:v>Primary estimand</x:v>
      </x:c>
      <x:c r="B22" s="32" t="str">
        <x:v>Difference in mean handling time for assigned groups</x:v>
      </x:c>
    </x:row>
    <x:row r="23">
      <x:c r="A23" s="31" t="str">
        <x:v>Quality constraint</x:v>
      </x:c>
      <x:c r="B23" s="32" t="str">
        <x:v>No deterioration beyond approved margin for CSAT, reopen, or risk capture</x:v>
      </x:c>
    </x:row>
    <x:row r="24">
      <x:c r="A24" s="31" t="str">
        <x:v>Missing data</x:v>
      </x:c>
      <x:c r="B24" s="32" t="str">
        <x:v>Report missingness by group; do not convert missing outcomes to zero</x:v>
      </x:c>
    </x:row>
    <x:row r="25">
      <x:c r="A25" s="31" t="str">
        <x:v>Protocol deviations</x:v>
      </x:c>
      <x:c r="B25" s="32" t="str">
        <x:v>Record before analysis and include sensitivity analysis</x:v>
      </x:c>
    </x:row>
  </x:sheetData>
  <x:mergeCells>
    <x:mergeCell ref="A2:J2"/>
    <x:mergeCell ref="A3:J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9" hidden="0" customWidth="1"/>
  </x:cols>
  <x:sheetData>
    <x:row r="2">
      <x:c r="A2" s="16" t="str">
        <x:v>Risk Adjusted Business Case</x:v>
      </x:c>
    </x:row>
    <x:row r="3">
      <x:c r="A3" s="17" t="str">
        <x:v>Editable scenario drivers. Results represent capacity value, not committed cash savings.</x:v>
      </x:c>
    </x:row>
    <x:row r="5">
      <x:c r="A5" s="33" t="str">
        <x:v>Driver</x:v>
      </x:c>
      <x:c r="B5" s="33" t="str">
        <x:v>Downside</x:v>
      </x:c>
      <x:c r="C5" s="33" t="str">
        <x:v>Base</x:v>
      </x:c>
      <x:c r="D5" s="33" t="str">
        <x:v>Upside</x:v>
      </x:c>
      <x:c r="E5" s="33" t="str">
        <x:v>Selected Base</x:v>
      </x:c>
    </x:row>
    <x:row r="6">
      <x:c r="A6" t="str">
        <x:v>Monthly requests</x:v>
      </x:c>
      <x:c r="B6" s="34" t="n">
        <x:v>10000</x:v>
      </x:c>
      <x:c r="C6" s="34" t="n">
        <x:v>10000</x:v>
      </x:c>
      <x:c r="D6" s="34" t="n">
        <x:v>10000</x:v>
      </x:c>
      <x:c r="E6" t="n">
        <x:f>C6</x:f>
        <x:v>10000</x:v>
      </x:c>
    </x:row>
    <x:row r="7">
      <x:c r="A7" t="str">
        <x:v>Eligible share</x:v>
      </x:c>
      <x:c r="B7" s="35" t="n">
        <x:v>0.5</x:v>
      </x:c>
      <x:c r="C7" s="35" t="n">
        <x:v>0.65</x:v>
      </x:c>
      <x:c r="D7" s="35" t="n">
        <x:v>0.8</x:v>
      </x:c>
      <x:c r="E7" s="36" t="n">
        <x:f>C7</x:f>
        <x:v>0.65</x:v>
      </x:c>
    </x:row>
    <x:row r="8">
      <x:c r="A8" t="str">
        <x:v>Adoption among eligible</x:v>
      </x:c>
      <x:c r="B8" s="35" t="n">
        <x:v>0.45</x:v>
      </x:c>
      <x:c r="C8" s="35" t="n">
        <x:v>0.7</x:v>
      </x:c>
      <x:c r="D8" s="35" t="n">
        <x:v>0.85</x:v>
      </x:c>
      <x:c r="E8" s="36" t="n">
        <x:f>C8</x:f>
        <x:v>0.7</x:v>
      </x:c>
    </x:row>
    <x:row r="9">
      <x:c r="A9" t="str">
        <x:v>Minutes saved per assisted case</x:v>
      </x:c>
      <x:c r="B9" s="34" t="n">
        <x:v>1.5</x:v>
      </x:c>
      <x:c r="C9" s="34" t="n">
        <x:v>3.5</x:v>
      </x:c>
      <x:c r="D9" s="34" t="n">
        <x:v>5</x:v>
      </x:c>
      <x:c r="E9" t="n">
        <x:f>C9</x:f>
        <x:v>3.5</x:v>
      </x:c>
    </x:row>
    <x:row r="10">
      <x:c r="A10" t="str">
        <x:v>Loaded labor cost per hour</x:v>
      </x:c>
      <x:c r="B10" s="37" t="n">
        <x:v>28</x:v>
      </x:c>
      <x:c r="C10" s="37" t="n">
        <x:v>32</x:v>
      </x:c>
      <x:c r="D10" s="37" t="n">
        <x:v>36</x:v>
      </x:c>
      <x:c r="E10" s="38" t="n">
        <x:f>C10</x:f>
        <x:v>32</x:v>
      </x:c>
    </x:row>
    <x:row r="11">
      <x:c r="A11" t="str">
        <x:v>Variable AI cost per case</x:v>
      </x:c>
      <x:c r="B11" s="37" t="n">
        <x:v>0.45</x:v>
      </x:c>
      <x:c r="C11" s="37" t="n">
        <x:v>0.3</x:v>
      </x:c>
      <x:c r="D11" s="37" t="n">
        <x:v>0.2</x:v>
      </x:c>
      <x:c r="E11" s="38" t="n">
        <x:f>C11</x:f>
        <x:v>0.3</x:v>
      </x:c>
    </x:row>
    <x:row r="12">
      <x:c r="A12" t="str">
        <x:v>Monthly fixed operating cost</x:v>
      </x:c>
      <x:c r="B12" s="37" t="n">
        <x:v>4500</x:v>
      </x:c>
      <x:c r="C12" s="37" t="n">
        <x:v>3500</x:v>
      </x:c>
      <x:c r="D12" s="37" t="n">
        <x:v>3000</x:v>
      </x:c>
      <x:c r="E12" s="38" t="n">
        <x:f>C12</x:f>
        <x:v>3500</x:v>
      </x:c>
    </x:row>
    <x:row r="13">
      <x:c r="A13" t="str">
        <x:v>One-time implementation cost</x:v>
      </x:c>
      <x:c r="B13" s="37" t="n">
        <x:v>180000</x:v>
      </x:c>
      <x:c r="C13" s="37" t="n">
        <x:v>140000</x:v>
      </x:c>
      <x:c r="D13" s="37" t="n">
        <x:v>120000</x:v>
      </x:c>
      <x:c r="E13" s="38" t="n">
        <x:f>C13</x:f>
        <x:v>140000</x:v>
      </x:c>
    </x:row>
    <x:row r="16">
      <x:c r="A16" s="27" t="str">
        <x:v>Base Case Result</x:v>
      </x:c>
      <x:c r="B16" s="27" t="str">
        <x:v>Value</x:v>
      </x:c>
      <x:c r="D16" s="27" t="str">
        <x:v>Scenario</x:v>
      </x:c>
      <x:c r="E16" s="27" t="str">
        <x:v>Gross Hours</x:v>
      </x:c>
      <x:c r="F16" s="27" t="str">
        <x:v>Gross Value</x:v>
      </x:c>
      <x:c r="G16" s="27" t="str">
        <x:v>Net Monthly</x:v>
      </x:c>
      <x:c r="H16" s="27" t="str">
        <x:v>Payback Months</x:v>
      </x:c>
    </x:row>
    <x:row r="17">
      <x:c r="A17" t="str">
        <x:v>Eligible requests</x:v>
      </x:c>
      <x:c r="B17" s="39" t="n">
        <x:f>E6*E7</x:f>
        <x:v>6500</x:v>
      </x:c>
      <x:c r="D17" t="str">
        <x:v>Downside</x:v>
      </x:c>
      <x:c r="E17" s="39" t="n">
        <x:f>$B$6*$B$7*$B$8*$B$9/60</x:f>
        <x:v>56.25</x:v>
      </x:c>
      <x:c r="F17" s="40" t="n">
        <x:f>E17*$B$10</x:f>
        <x:v>1575</x:v>
      </x:c>
      <x:c r="G17" s="40" t="n">
        <x:f>F17-($B$6*$B$7*$B$8*$B$11)-$B$12</x:f>
        <x:v>-3937.5</x:v>
      </x:c>
      <x:c r="H17" s="41" t="str">
        <x:f>IF(G17&lt;=0,"No payback",$B$13/G17)</x:f>
        <x:v>No payback</x:v>
      </x:c>
    </x:row>
    <x:row r="18">
      <x:c r="A18" t="str">
        <x:v>Assisted requests</x:v>
      </x:c>
      <x:c r="B18" s="39" t="n">
        <x:f>B17*E8</x:f>
        <x:v>4550</x:v>
      </x:c>
      <x:c r="D18" t="str">
        <x:v>Base</x:v>
      </x:c>
      <x:c r="E18" s="39" t="n">
        <x:f>$C$6*$C$7*$C$8*$C$9/60</x:f>
        <x:v>265.4166666666667</x:v>
      </x:c>
      <x:c r="F18" s="40" t="n">
        <x:f>E18*$C$10</x:f>
        <x:v>8493.333333333334</x:v>
      </x:c>
      <x:c r="G18" s="40" t="n">
        <x:f>F18-($C$6*$C$7*$C$8*$C$11)-$C$12</x:f>
        <x:v>3628.333333333334</x:v>
      </x:c>
      <x:c r="H18" s="41" t="n">
        <x:f>IF(G18&lt;=0,"No payback",$C$13/G18)</x:f>
        <x:v>38.585209003215425</x:v>
      </x:c>
    </x:row>
    <x:row r="19">
      <x:c r="A19" t="str">
        <x:v>Gross hours released</x:v>
      </x:c>
      <x:c r="B19" s="39" t="n">
        <x:f>B18*E9/60</x:f>
        <x:v>265.4166666666667</x:v>
      </x:c>
      <x:c r="D19" t="str">
        <x:v>Upside</x:v>
      </x:c>
      <x:c r="E19" s="39" t="n">
        <x:f>$D$6*$D$7*$D$8*$D$9/60</x:f>
        <x:v>566.6666666666666</x:v>
      </x:c>
      <x:c r="F19" s="40" t="n">
        <x:f>E19*$D$10</x:f>
        <x:v>20400</x:v>
      </x:c>
      <x:c r="G19" s="40" t="n">
        <x:f>F19-($D$6*$D$7*$D$8*$D$11)-$D$12</x:f>
        <x:v>16040</x:v>
      </x:c>
      <x:c r="H19" s="41" t="n">
        <x:f>IF(G19&lt;=0,"No payback",$D$13/G19)</x:f>
        <x:v>7.4812967581047385</x:v>
      </x:c>
    </x:row>
    <x:row r="20">
      <x:c r="A20" t="str">
        <x:v>Gross monthly capacity value</x:v>
      </x:c>
      <x:c r="B20" s="40" t="n">
        <x:f>B19*E10</x:f>
        <x:v>8493.333333333334</x:v>
      </x:c>
    </x:row>
    <x:row r="21">
      <x:c r="A21" t="str">
        <x:v>Monthly variable AI cost</x:v>
      </x:c>
      <x:c r="B21" s="40" t="n">
        <x:f>B18*E11</x:f>
        <x:v>1365</x:v>
      </x:c>
    </x:row>
    <x:row r="22">
      <x:c r="A22" t="str">
        <x:v>Monthly net operating benefit</x:v>
      </x:c>
      <x:c r="B22" s="40" t="n">
        <x:f>B20-B21-E12</x:f>
        <x:v>3628.333333333334</x:v>
      </x:c>
    </x:row>
    <x:row r="23">
      <x:c r="A23" t="str">
        <x:v>Annual net operating benefit</x:v>
      </x:c>
      <x:c r="B23" s="40" t="n">
        <x:f>B22*12</x:f>
        <x:v>43540.00000000001</x:v>
      </x:c>
    </x:row>
    <x:row r="24">
      <x:c r="A24" t="str">
        <x:v>Simple payback months</x:v>
      </x:c>
      <x:c r="B24" s="41" t="n">
        <x:f>IF(B22&lt;=0,"No payback",E13/B22)</x:f>
        <x:v>38.585209003215425</x:v>
      </x:c>
    </x:row>
  </x:sheetData>
  <x:mergeCells>
    <x:mergeCell ref="A2:I2"/>
    <x:mergeCell ref="A3:I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20" hidden="0" customWidth="1"/>
    <x:col min="4" max="4" width="42" hidden="0" customWidth="1"/>
    <x:col min="5" max="5" width="15" hidden="0" customWidth="1"/>
    <x:col min="6" max="6" width="16" hidden="0" customWidth="1"/>
    <x:col min="7" max="7" width="19" hidden="0" customWidth="1"/>
    <x:col min="8" max="8" width="15" hidden="0" customWidth="1"/>
    <x:col min="9" max="9" width="15" hidden="0" customWidth="1"/>
  </x:cols>
  <x:sheetData>
    <x:row r="2">
      <x:c r="A2" s="16" t="str">
        <x:v>Governance RAID and Decision Log</x:v>
      </x:c>
    </x:row>
    <x:row r="3">
      <x:c r="A3" s="17" t="str">
        <x:v>Ownership, risks, assumptions, issues, dependencies, and formal decisions.</x:v>
      </x:c>
    </x:row>
    <x:row r="5">
      <x:c r="A5" s="5" t="str">
        <x:v>ID</x:v>
      </x:c>
      <x:c r="B5" s="5" t="str">
        <x:v>Type</x:v>
      </x:c>
      <x:c r="C5" s="5" t="str">
        <x:v>Description</x:v>
      </x:c>
      <x:c r="D5" s="5" t="str">
        <x:v>Probability</x:v>
      </x:c>
      <x:c r="E5" s="5" t="str">
        <x:v>Impact</x:v>
      </x:c>
      <x:c r="F5" s="5" t="str">
        <x:v>Response</x:v>
      </x:c>
      <x:c r="G5" s="5" t="str">
        <x:v>Owner</x:v>
      </x:c>
      <x:c r="H5" s="5" t="str">
        <x:v>Status</x:v>
      </x:c>
      <x:c r="I5" s="5" t="str">
        <x:v>Review</x:v>
      </x:c>
    </x:row>
    <x:row r="6">
      <x:c r="A6" s="8" t="str">
        <x:v>R-01</x:v>
      </x:c>
      <x:c r="B6" s="8" t="str">
        <x:v>Risk</x:v>
      </x:c>
      <x:c r="C6" s="8" t="str">
        <x:v>Incomplete or stale knowledge</x:v>
      </x:c>
      <x:c r="D6" s="8" t="str">
        <x:v>High</x:v>
      </x:c>
      <x:c r="E6" s="8" t="str">
        <x:v>High</x:v>
      </x:c>
      <x:c r="F6" s="8" t="str">
        <x:v>Inventory, owner assignment, freshness SLA</x:v>
      </x:c>
      <x:c r="G6" s="8" t="str">
        <x:v>Knowledge Owner</x:v>
      </x:c>
      <x:c r="H6" s="8" t="str">
        <x:v>Open</x:v>
      </x:c>
      <x:c r="I6" s="8" t="str">
        <x:v>Weekly</x:v>
      </x:c>
    </x:row>
    <x:row r="7">
      <x:c r="A7" s="9" t="str">
        <x:v>R-02</x:v>
      </x:c>
      <x:c r="B7" s="9" t="str">
        <x:v>Risk</x:v>
      </x:c>
      <x:c r="C7" s="9" t="str">
        <x:v>Automation bias among agents</x:v>
      </x:c>
      <x:c r="D7" s="9" t="str">
        <x:v>Medium</x:v>
      </x:c>
      <x:c r="E7" s="9" t="str">
        <x:v>High</x:v>
      </x:c>
      <x:c r="F7" s="9" t="str">
        <x:v>Training, source verification, targeted sampling</x:v>
      </x:c>
      <x:c r="G7" s="9" t="str">
        <x:v>Support Manager</x:v>
      </x:c>
      <x:c r="H7" s="9" t="str">
        <x:v>Open</x:v>
      </x:c>
      <x:c r="I7" s="9" t="str">
        <x:v>Weekly</x:v>
      </x:c>
    </x:row>
    <x:row r="8">
      <x:c r="A8" s="8" t="str">
        <x:v>R-03</x:v>
      </x:c>
      <x:c r="B8" s="8" t="str">
        <x:v>Risk</x:v>
      </x:c>
      <x:c r="C8" s="8" t="str">
        <x:v>Historical labels encode inconsistent routing</x:v>
      </x:c>
      <x:c r="D8" s="8" t="str">
        <x:v>High</x:v>
      </x:c>
      <x:c r="E8" s="8" t="str">
        <x:v>Medium</x:v>
      </x:c>
      <x:c r="F8" s="8" t="str">
        <x:v>Relabel stratified sample and adjudicate</x:v>
      </x:c>
      <x:c r="G8" s="8" t="str">
        <x:v>Data Lead</x:v>
      </x:c>
      <x:c r="H8" s="8" t="str">
        <x:v>In Progress</x:v>
      </x:c>
      <x:c r="I8" s="8" t="str">
        <x:v>Design gate</x:v>
      </x:c>
    </x:row>
    <x:row r="9">
      <x:c r="A9" s="9" t="str">
        <x:v>R-04</x:v>
      </x:c>
      <x:c r="B9" s="9" t="str">
        <x:v>Risk</x:v>
      </x:c>
      <x:c r="C9" s="9" t="str">
        <x:v>Review effort erodes capacity value</x:v>
      </x:c>
      <x:c r="D9" s="9" t="str">
        <x:v>Medium</x:v>
      </x:c>
      <x:c r="E9" s="9" t="str">
        <x:v>High</x:v>
      </x:c>
      <x:c r="F9" s="9" t="str">
        <x:v>Measure review time and adjust eligibility</x:v>
      </x:c>
      <x:c r="G9" s="9" t="str">
        <x:v>Product Manager</x:v>
      </x:c>
      <x:c r="H9" s="9" t="str">
        <x:v>Open</x:v>
      </x:c>
      <x:c r="I9" s="9" t="str">
        <x:v>Pilot</x:v>
      </x:c>
    </x:row>
    <x:row r="10">
      <x:c r="A10" s="8" t="str">
        <x:v>A-01</x:v>
      </x:c>
      <x:c r="B10" s="8" t="str">
        <x:v>Assumption</x:v>
      </x:c>
      <x:c r="C10" s="8" t="str">
        <x:v>CRM supports required APIs and timestamps</x:v>
      </x:c>
      <x:c r="D10" s="8" t="str">
        <x:v>Open</x:v>
      </x:c>
      <x:c r="E10" s="8" t="str">
        <x:v>High</x:v>
      </x:c>
      <x:c r="F10" s="8" t="str">
        <x:v>Interface spike and data profiling</x:v>
      </x:c>
      <x:c r="G10" s="8" t="str">
        <x:v>Engineering Lead</x:v>
      </x:c>
      <x:c r="H10" s="8" t="str">
        <x:v>Open</x:v>
      </x:c>
      <x:c r="I10" s="8" t="str">
        <x:v>Discovery</x:v>
      </x:c>
    </x:row>
    <x:row r="11">
      <x:c r="A11" s="9" t="str">
        <x:v>I-01</x:v>
      </x:c>
      <x:c r="B11" s="9" t="str">
        <x:v>Issue</x:v>
      </x:c>
      <x:c r="C11" s="9" t="str">
        <x:v>Support and Finance use different cost definitions</x:v>
      </x:c>
      <x:c r="D11" s="9" t="str">
        <x:v>Open</x:v>
      </x:c>
      <x:c r="E11" s="9" t="str">
        <x:v>Medium</x:v>
      </x:c>
      <x:c r="F11" s="9" t="str">
        <x:v>Approve common semantic definition</x:v>
      </x:c>
      <x:c r="G11" s="9" t="str">
        <x:v>Data Analyst</x:v>
      </x:c>
      <x:c r="H11" s="9" t="str">
        <x:v>Open</x:v>
      </x:c>
      <x:c r="I11" s="9" t="str">
        <x:v>Design gate</x:v>
      </x:c>
    </x:row>
    <x:row r="12">
      <x:c r="A12" s="8" t="str">
        <x:v>D-01</x:v>
      </x:c>
      <x:c r="B12" s="8" t="str">
        <x:v>Dependency</x:v>
      </x:c>
      <x:c r="C12" s="8" t="str">
        <x:v>Security and privacy reviews precede UAT</x:v>
      </x:c>
      <x:c r="D12" s="8" t="str">
        <x:v>Open</x:v>
      </x:c>
      <x:c r="E12" s="8" t="str">
        <x:v>High</x:v>
      </x:c>
      <x:c r="F12" s="8" t="str">
        <x:v>Schedule evidence review in design</x:v>
      </x:c>
      <x:c r="G12" s="8" t="str">
        <x:v>Compliance Lead</x:v>
      </x:c>
      <x:c r="H12" s="8" t="str">
        <x:v>Open</x:v>
      </x:c>
      <x:c r="I12" s="8" t="str">
        <x:v>UAT entry</x:v>
      </x:c>
    </x:row>
    <x:row r="16">
      <x:c r="A16" s="27" t="str">
        <x:v>Decision ID</x:v>
      </x:c>
      <x:c r="B16" s="27" t="str">
        <x:v>Decision</x:v>
      </x:c>
      <x:c r="C16" s="27" t="str">
        <x:v>Accountable</x:v>
      </x:c>
      <x:c r="D16" s="27" t="str">
        <x:v>Evidence Required</x:v>
      </x:c>
      <x:c r="E16" s="27" t="str">
        <x:v>Date</x:v>
      </x:c>
      <x:c r="F16" s="27" t="str">
        <x:v>Status</x:v>
      </x:c>
    </x:row>
    <x:row r="17">
      <x:c r="A17" t="str">
        <x:v>DEC-01</x:v>
      </x:c>
      <x:c r="B17" t="str">
        <x:v>Approve pilot scope</x:v>
      </x:c>
      <x:c r="C17" t="str">
        <x:v>Product Manager</x:v>
      </x:c>
      <x:c r="D17" t="str">
        <x:v>Charter, baseline, stakeholder findings</x:v>
      </x:c>
      <x:c r="E17" s="34" t="str"/>
      <x:c r="F17" s="34" t="str">
        <x:v>Pending</x:v>
      </x:c>
    </x:row>
    <x:row r="18">
      <x:c r="A18" t="str">
        <x:v>DEC-02</x:v>
      </x:c>
      <x:c r="B18" t="str">
        <x:v>Approve risk taxonomy</x:v>
      </x:c>
      <x:c r="C18" t="str">
        <x:v>Compliance Lead</x:v>
      </x:c>
      <x:c r="D18" t="str">
        <x:v>Policy, scenario tests, legal review</x:v>
      </x:c>
      <x:c r="E18" s="34" t="str"/>
      <x:c r="F18" s="34" t="str">
        <x:v>Pending</x:v>
      </x:c>
    </x:row>
    <x:row r="19">
      <x:c r="A19" t="str">
        <x:v>DEC-03</x:v>
      </x:c>
      <x:c r="B19" t="str">
        <x:v>Approve UAT entry</x:v>
      </x:c>
      <x:c r="C19" t="str">
        <x:v>Engineering Lead</x:v>
      </x:c>
      <x:c r="D19" t="str">
        <x:v>Build evidence, security results, open defects</x:v>
      </x:c>
      <x:c r="E19" s="34" t="str"/>
      <x:c r="F19" s="34" t="str">
        <x:v>Pending</x:v>
      </x:c>
    </x:row>
    <x:row r="20">
      <x:c r="A20" t="str">
        <x:v>DEC-04</x:v>
      </x:c>
      <x:c r="B20" t="str">
        <x:v>Approve controlled pilot</x:v>
      </x:c>
      <x:c r="C20" t="str">
        <x:v>Support Manager</x:v>
      </x:c>
      <x:c r="D20" t="str">
        <x:v>UAT exit report and operating runbook</x:v>
      </x:c>
      <x:c r="E20" s="34" t="str"/>
      <x:c r="F20" s="34" t="str">
        <x:v>Pending</x:v>
      </x:c>
    </x:row>
    <x:row r="21">
      <x:c r="A21" t="str">
        <x:v>DEC-05</x:v>
      </x:c>
      <x:c r="B21" t="str">
        <x:v>Approve expansion</x:v>
      </x:c>
      <x:c r="C21" t="str">
        <x:v>Executive Sponsor</x:v>
      </x:c>
      <x:c r="D21" t="str">
        <x:v>Four-week scorecard and residual-risk acceptance</x:v>
      </x:c>
      <x:c r="E21" s="34" t="str"/>
      <x:c r="F21" s="34" t="str">
        <x:v>Pending</x:v>
      </x:c>
    </x:row>
  </x:sheetData>
  <x:mergeCells>
    <x:mergeCell ref="A2:J2"/>
    <x:mergeCell ref="A3:J3"/>
  </x:mergeCells>
  <x:pageMargins left="0.7" right="0.7" top="0.75" bottom="0.75" header="0.3" footer="0.3"/>
</x:worksheet>
</file>